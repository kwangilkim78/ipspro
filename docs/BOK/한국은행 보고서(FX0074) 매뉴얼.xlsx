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19200" windowHeight="11385" activeTab="1"/>
  </bookViews>
  <sheets>
    <sheet name="한국은행보고서_Sample" sheetId="2" r:id="rId1"/>
    <sheet name="레이아웃 설명" sheetId="1" r:id="rId2"/>
    <sheet name="FX_DEAL All" sheetId="7" r:id="rId3"/>
    <sheet name="IRS_DEAL All" sheetId="8" r:id="rId4"/>
  </sheets>
  <definedNames>
    <definedName name="_xlnm._FilterDatabase" localSheetId="0" hidden="1">한국은행보고서_Sample!$A$1:$AA$1</definedName>
    <definedName name="_xlnm.Print_Area" localSheetId="1">'레이아웃 설명'!$A$1:$F$88</definedName>
  </definedNames>
  <calcPr calcId="162913"/>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 i="2"/>
</calcChain>
</file>

<file path=xl/sharedStrings.xml><?xml version="1.0" encoding="utf-8"?>
<sst xmlns="http://schemas.openxmlformats.org/spreadsheetml/2006/main" count="1267" uniqueCount="504">
  <si>
    <t>FX0074</t>
    <phoneticPr fontId="7" type="noConversion"/>
  </si>
  <si>
    <t>보고서명</t>
    <phoneticPr fontId="7" type="noConversion"/>
  </si>
  <si>
    <t>업무담당</t>
    <phoneticPr fontId="7" type="noConversion"/>
  </si>
  <si>
    <t>한국은행 외환시장팀(☎759-5916)</t>
    <phoneticPr fontId="7" type="noConversion"/>
  </si>
  <si>
    <t>근거규정</t>
    <phoneticPr fontId="7" type="noConversion"/>
  </si>
  <si>
    <t>작성기관</t>
    <phoneticPr fontId="7" type="noConversion"/>
  </si>
  <si>
    <t>보고개요</t>
    <phoneticPr fontId="7" type="noConversion"/>
  </si>
  <si>
    <t>NO</t>
  </si>
  <si>
    <t>항    목</t>
  </si>
  <si>
    <t>필수</t>
  </si>
  <si>
    <t>속성</t>
  </si>
  <si>
    <t>길이</t>
  </si>
  <si>
    <t>KEY항목
여부</t>
    <phoneticPr fontId="10" type="noConversion"/>
  </si>
  <si>
    <t>분석 항목명</t>
  </si>
  <si>
    <t>비 고</t>
    <phoneticPr fontId="12" type="noConversion"/>
  </si>
  <si>
    <t>보고기관코드</t>
  </si>
  <si>
    <t>M</t>
  </si>
  <si>
    <t>X(4)</t>
  </si>
  <si>
    <t>Y</t>
  </si>
  <si>
    <t xml:space="preserve"> (CODE 1)</t>
    <phoneticPr fontId="10" type="noConversion"/>
  </si>
  <si>
    <t>취급점포코드</t>
    <phoneticPr fontId="10" type="noConversion"/>
  </si>
  <si>
    <t>M</t>
    <phoneticPr fontId="10" type="noConversion"/>
  </si>
  <si>
    <t>X(4)</t>
    <phoneticPr fontId="10" type="noConversion"/>
  </si>
  <si>
    <t>N</t>
    <phoneticPr fontId="10" type="noConversion"/>
  </si>
  <si>
    <t>은행 : 금융공동망코드의 마지막 4자리, 기타 : 자체 관리 점포코드 4자리</t>
  </si>
  <si>
    <t>취급점포소재지식별번호</t>
  </si>
  <si>
    <t>X(6)</t>
  </si>
  <si>
    <t>N</t>
  </si>
  <si>
    <t>국내: 우편번호, 국외: BIC CODE 5~8번째자리 예)CZNBKRSEXXX</t>
  </si>
  <si>
    <t>보고점포그룹구분코드</t>
  </si>
  <si>
    <t>X(1)</t>
  </si>
  <si>
    <t>(CODE 211)</t>
    <phoneticPr fontId="10" type="noConversion"/>
  </si>
  <si>
    <t>전송일자</t>
  </si>
  <si>
    <t>X</t>
  </si>
  <si>
    <t>X(8)</t>
  </si>
  <si>
    <t>YYYYMMDD</t>
  </si>
  <si>
    <t>작성기준일자</t>
  </si>
  <si>
    <t>체결일자, YYYYMMDD</t>
  </si>
  <si>
    <t>전송횟수</t>
  </si>
  <si>
    <t>X(2)</t>
  </si>
  <si>
    <t>한국은행 시스템에서 자동부여</t>
  </si>
  <si>
    <t>전송구분코드</t>
  </si>
  <si>
    <t>(CODE 195)</t>
    <phoneticPr fontId="10" type="noConversion"/>
  </si>
  <si>
    <t>1:신규(Insert), 2:삭제(Delete), 4:수정(Update)</t>
  </si>
  <si>
    <t>처리번호</t>
  </si>
  <si>
    <t>상품구분코드</t>
  </si>
  <si>
    <t>CODE 추가
(1:중개사 상품구분) (CODE 2350)</t>
    <phoneticPr fontId="10" type="noConversion"/>
  </si>
  <si>
    <t>체결번호</t>
  </si>
  <si>
    <t>9(5)</t>
  </si>
  <si>
    <t>매입기관코드</t>
  </si>
  <si>
    <t>(CODE 410)</t>
    <phoneticPr fontId="10" type="noConversion"/>
  </si>
  <si>
    <t>■ '11. 자금'의 경우, 자금을 차입하는 기관이 매입기관
■ '33. 외환스왑(차액결제제외), 34. 외환스왑(차액결제), 35. 통화스왑(차액결제제외), 36. 통화스왑(차액결제)'의 경우 원일물거래를 기준으로 보고(sell&amp;buy, CRS pay한 경우 매입기관)하되, 원화미게재거래(외화간거래)의 경우 기준통화를 기준으로 보고(예: EUR-USD간 외환스왑의 경우 EUR를 Sell&amp;Buy한 기관이 매입기관)
■ '41. 이자율스왑(원화), 42. 이자율스왑(외화)'의 경우 고정금리 지급기관이 매입기관</t>
    <phoneticPr fontId="10" type="noConversion"/>
  </si>
  <si>
    <t>금액</t>
  </si>
  <si>
    <t>S9(15,2)</t>
  </si>
  <si>
    <t>기준통화코드</t>
  </si>
  <si>
    <t>X(3)</t>
  </si>
  <si>
    <t>(CODE 18)</t>
    <phoneticPr fontId="10" type="noConversion"/>
  </si>
  <si>
    <t>상대통화코드</t>
  </si>
  <si>
    <t>체결시각</t>
  </si>
  <si>
    <t>장내외구분코드</t>
  </si>
  <si>
    <t>(CODE 314)</t>
    <phoneticPr fontId="10" type="noConversion"/>
  </si>
  <si>
    <t>1:장외, 2:장내</t>
    <phoneticPr fontId="10" type="noConversion"/>
  </si>
  <si>
    <t>결제일자</t>
  </si>
  <si>
    <t>O</t>
  </si>
  <si>
    <t>시작일자</t>
  </si>
  <si>
    <t>YYYYMMDD
【보고대상 상품: 11. 자금, 33. 외환스왑(차액결제제외), 34. 외환스왑(차액결제), 35. 통화스왑(차액결제제외), 36. 통화스왑(차액결제), 41. 이자율스왑(원화), 42. 이자율스왑(외화), 43. OIS스왑, 45. FRA】
■ '33. 외환스왑(차액결제제외), 34. 외환스왑(차액결제)'의 경우 Near Value Date 입력
■ '35. 통화스왑(차액결제제외), 36. 통화스왑(차액결제), 41. 이자율스왑(원화), 42. 이자율스왑(외화)'의 경우 스왑개시일(Effecetive date) 입력</t>
  </si>
  <si>
    <t>종료일자</t>
  </si>
  <si>
    <t>YYYYMMDD
【보고대상 상품: 11. 자금, 33. 외환스왑(차액결제제외), 34. 외환스왑(차액결제), 35. 통화스왑(차액결제제외), 36. 통화스왑(차액결제), 41. 이자율스왑(원화), 42. 이자율스왑(외화), 43. OIS스왑, 45. FRA】
■ '33. 외환스왑(차액결제제외), 34. 외환스왑(차액결제)'의 경우 Far Value Date 입력</t>
  </si>
  <si>
    <t>행사만기일자</t>
  </si>
  <si>
    <t>YYYYMMDD
【보고대상 상품: 37. 통화옵션, 44. 이자율옵션】</t>
  </si>
  <si>
    <t>기일코드</t>
  </si>
  <si>
    <t>(CODE 409)</t>
    <phoneticPr fontId="10" type="noConversion"/>
  </si>
  <si>
    <t>【보고대상 상품: 11. 자금, 21. 현물환, 31. 통화선도(차액결제제외), 32. 통화선도(차액결제), 33. 외환스왑(차액결제제외), 34. 외환스왑(차액결제)】
예: overnight, 1월물, 1*3월물, odd date</t>
  </si>
  <si>
    <t>거래환율</t>
  </si>
  <si>
    <t>S9(11,6)</t>
  </si>
  <si>
    <t>기준통화 1단위당 상대통화
【보고대상 상품: 21. 현물환, 22. Average Price FX, 31. 통화선도(차액결제제외), 32. 통화선도(차액결제), 35. 통화스왑(차액결제제외), 36. 통화스왑(차액결제), 37. 통화옵션】
■ '22. Average Price FX'의 경우 실제 거래된 환율
■ '35. 통화스왑(차액결제제외), 36. 통화스왑(차액결제)'의 경우 명목원금교환에 적용된 환율 
■ '37. 통화옵션'의 경우 옵션 행사환율</t>
    <phoneticPr fontId="10" type="noConversion"/>
  </si>
  <si>
    <t>근일물거래환율</t>
  </si>
  <si>
    <t>기준통화 1단위당 상대통화
【보고대상 상품: '33. 외환스왑(차액결제제외), 34. 외환스왑(차액결제)】</t>
  </si>
  <si>
    <t>원일물거래환율</t>
  </si>
  <si>
    <t>시장평균환율대비가감율</t>
  </si>
  <si>
    <t>단위:원
【보고대상 상품: '22. Average Price FX】</t>
  </si>
  <si>
    <t>고정금리</t>
  </si>
  <si>
    <t>(CODE 2351)</t>
    <phoneticPr fontId="10" type="noConversion"/>
  </si>
  <si>
    <t>【보고대상 상품: '11. 자금, 35. 통화스왑(차액결제제외), 36. 통화스왑(차액결제), 41. 이자율스왑(원화), 42. 이자율스왑(외화), 43. OIS스왑, 44. 이자율옵션, 45. FRA】
■ '44. 이자율옵션'의 경우 행사금리</t>
    <phoneticPr fontId="10" type="noConversion"/>
  </si>
  <si>
    <t>중개사거래변동금리구분코드</t>
  </si>
  <si>
    <r>
      <t xml:space="preserve">CODE 추가
(2:중개사 거래 변동금리 구분)
</t>
    </r>
    <r>
      <rPr>
        <b/>
        <sz val="8"/>
        <rFont val="돋움"/>
        <family val="3"/>
        <charset val="129"/>
      </rPr>
      <t>*추가 불가능할 경우 CODE77 사용</t>
    </r>
    <phoneticPr fontId="10" type="noConversion"/>
  </si>
  <si>
    <t>1: LIBOR, 2: EURIBOR, 3: CD금리, 4. EURO-LIBOR, 5. SIBOR, 6. TIBOR, 7. HIBOR, 9. 기타
【보고대상 상품: '35. 통화스왑(차액결제제외), 36. 통화스왑(차액결제), 41. 이자율스왑(원화), 42. 이자율스왑(외화), 45. FRA】</t>
    <phoneticPr fontId="10" type="noConversion"/>
  </si>
  <si>
    <t>변동금리</t>
  </si>
  <si>
    <t>(CODE 328)</t>
    <phoneticPr fontId="10" type="noConversion"/>
  </si>
  <si>
    <t>【보고대상 상품: '35. 통화스왑(차액결제제외), 36. 통화스왑(차액결제), 41. 이자율스왑(원화), 42. 이자율스왑(외화), 45. FRA】</t>
  </si>
  <si>
    <t>콜풋옵션구분코드</t>
  </si>
  <si>
    <t>(CODE 83)</t>
    <phoneticPr fontId="10" type="noConversion"/>
  </si>
  <si>
    <t>1: Call Option, 2: Put Option
【보고대상 상품: 37. 통화옵션】</t>
  </si>
  <si>
    <t>옵션형태구분코드</t>
  </si>
  <si>
    <t>1: American Option, 2: European Option
【보고대상 상품: 37. 통화옵션】</t>
  </si>
  <si>
    <t>USD옵션금액</t>
  </si>
  <si>
    <t>【보고대상 상품: 37. 통화옵션】</t>
  </si>
  <si>
    <t>&lt;작성시 유의사항&gt;</t>
  </si>
  <si>
    <t>1. 작성기준일자는 체결일자</t>
  </si>
  <si>
    <t>&lt;보고서 체크로직&gt;</t>
  </si>
  <si>
    <t>1. 결제일, 시작일, 종료일, 행사만기일은 작성기준일자보다 크거나 같아야 함</t>
  </si>
  <si>
    <t>2. 시작일은 종료일보다 작거나 같아야 함</t>
  </si>
  <si>
    <t>3. 상품코드가 "11. 자금"인 경우 기일코드 '11'이 입력 불가능</t>
  </si>
  <si>
    <t>4. 선택조건 항목</t>
  </si>
  <si>
    <t xml:space="preserve">   - 필드19(결제일) : 필드10(상품코드)의 값이 "21, 22, 31, 32"중 하나인 경우 반드시 값이 존재해야 함</t>
  </si>
  <si>
    <t xml:space="preserve">   - 필드20(시작일) : 필드10(상품코드)의 값이 "11, 33, 34, 35, 36, 41, 42, 43, 45"중 하나인 경우 반드시 값이 존재해야 함</t>
  </si>
  <si>
    <t xml:space="preserve">   - 필드21(종료일) : 필드10(상품코드)의 값이 "11, 33, 34, 35, 36, 41, 42, 43, 45"중 하나인 경우 반드시 값이 존재해야 함</t>
  </si>
  <si>
    <t xml:space="preserve">   - 필드22(행사만기일) : 필드10(상품코드)의 값이 "37, 44"중 하나인 경우 반드시 값이 존재해야 함</t>
  </si>
  <si>
    <t xml:space="preserve">   - 필드23(기일코드) : 필드10(상품코드)의 값이 "11, 21, 31, 32, 33, 34"중 하나인 경우 반드시 값이 존재해야 함</t>
  </si>
  <si>
    <t xml:space="preserve">   - 필드24(거래환율) : 필드10(상품코드)의 값이 "21, 22, 31, 32, 35, 36, 37"중 하나인 경우 반드시 값이 존재해야 함</t>
  </si>
  <si>
    <t xml:space="preserve">   - 필드25(근일물 거래환율) : 필드10(상품코드)의 값이 "33, 34"중 하나인 경우 반드시 값이 존재해야 함</t>
  </si>
  <si>
    <t xml:space="preserve">   - 필드26(원일물 거래환율) : 필드10(상품코드)의 값이 "33, 34"중 하나인 경우 반드시 값이 존재해야 함</t>
  </si>
  <si>
    <t xml:space="preserve">   - 필드27(시장평균환율 대비 가감율) : 필드10(상품코드)의 값이 "22"인 경우 반드시 값이 존재해야 함</t>
  </si>
  <si>
    <t xml:space="preserve">   - 필드28(고정금리) : 필드10(상품코드)의 값이 "11, 35, 36, 41, 42, 43, 44, 45"중 하나인 경우 반드시 값이 존재해야 함</t>
  </si>
  <si>
    <t xml:space="preserve">   - 필드29(변동금리코드) : 필드10(상품코드)의 값이 "35, 36, 41, 42, 45"중 하나인 경우 반드시 값이 존재해야 함</t>
  </si>
  <si>
    <t xml:space="preserve">   - 필드30(변동금리) : 필드10(상품코드)의 값이 "35, 36, 41, 42, 45"중 하나인 경우 반드시 값이 존재해야 함</t>
  </si>
  <si>
    <t xml:space="preserve">   - 필드31(Put/Call) : 필드10(상품코드)의 값이 "37"인 경우 반드시 값이 존재해야 함</t>
  </si>
  <si>
    <t xml:space="preserve">   - 필드32(Type) : 필드10(상품코드)의 값이 "37"인 경우 반드시 값이 존재해야 함</t>
  </si>
  <si>
    <t xml:space="preserve">   - 필드33(옵션가격(달러화)) : 필드10(상품코드)의 값이 "37"인 경우 반드시 값이 존재해야 함</t>
  </si>
  <si>
    <t>&lt;CODE 참고&gt;</t>
    <phoneticPr fontId="10" type="noConversion"/>
  </si>
  <si>
    <t>11</t>
    <phoneticPr fontId="10" type="noConversion"/>
  </si>
  <si>
    <t>21</t>
    <phoneticPr fontId="10" type="noConversion"/>
  </si>
  <si>
    <t>22</t>
    <phoneticPr fontId="10" type="noConversion"/>
  </si>
  <si>
    <t>31</t>
    <phoneticPr fontId="10" type="noConversion"/>
  </si>
  <si>
    <t>32</t>
    <phoneticPr fontId="10" type="noConversion"/>
  </si>
  <si>
    <t>33</t>
    <phoneticPr fontId="10" type="noConversion"/>
  </si>
  <si>
    <t>34</t>
    <phoneticPr fontId="10" type="noConversion"/>
  </si>
  <si>
    <t>35</t>
    <phoneticPr fontId="10" type="noConversion"/>
  </si>
  <si>
    <t>36</t>
    <phoneticPr fontId="10" type="noConversion"/>
  </si>
  <si>
    <t>37</t>
    <phoneticPr fontId="10" type="noConversion"/>
  </si>
  <si>
    <t>통화옵션</t>
  </si>
  <si>
    <t>41</t>
    <phoneticPr fontId="10" type="noConversion"/>
  </si>
  <si>
    <t>42</t>
    <phoneticPr fontId="10" type="noConversion"/>
  </si>
  <si>
    <t>43</t>
    <phoneticPr fontId="10" type="noConversion"/>
  </si>
  <si>
    <t>OIS스왑</t>
  </si>
  <si>
    <t>44</t>
    <phoneticPr fontId="10" type="noConversion"/>
  </si>
  <si>
    <t>45</t>
    <phoneticPr fontId="10" type="noConversion"/>
  </si>
  <si>
    <t>매도기관코드</t>
    <phoneticPr fontId="6" type="noConversion"/>
  </si>
  <si>
    <t>상품구분</t>
    <phoneticPr fontId="10" type="noConversion"/>
  </si>
  <si>
    <t>변동금리 구분</t>
    <phoneticPr fontId="10" type="noConversion"/>
  </si>
  <si>
    <t>기일코드(Tenor)</t>
    <phoneticPr fontId="6" type="noConversion"/>
  </si>
  <si>
    <t>취급점포코드</t>
  </si>
  <si>
    <t>취급점포소재지</t>
  </si>
  <si>
    <t>전송구분</t>
  </si>
  <si>
    <t>상품코드</t>
  </si>
  <si>
    <t>매입업체코드</t>
  </si>
  <si>
    <t>매도업체코드</t>
  </si>
  <si>
    <t>장내/장외</t>
  </si>
  <si>
    <t>결제일</t>
  </si>
  <si>
    <t>시작일</t>
  </si>
  <si>
    <t>종료일</t>
  </si>
  <si>
    <t>행사만기일</t>
  </si>
  <si>
    <t>거래환율</t>
    <phoneticPr fontId="23" type="noConversion"/>
  </si>
  <si>
    <t>근일물 거래환율</t>
  </si>
  <si>
    <t>원일물 거래환율</t>
  </si>
  <si>
    <t>시장평균환율 대비 가감율</t>
  </si>
  <si>
    <t>중개사 거래 변동금리 코드</t>
  </si>
  <si>
    <t>Put/Call</t>
  </si>
  <si>
    <t>Type</t>
  </si>
  <si>
    <t>옵션가격(달러화)</t>
  </si>
  <si>
    <t>02</t>
    <phoneticPr fontId="10" type="noConversion"/>
  </si>
  <si>
    <t>O/N</t>
    <phoneticPr fontId="10" type="noConversion"/>
  </si>
  <si>
    <t>04</t>
    <phoneticPr fontId="10" type="noConversion"/>
  </si>
  <si>
    <t>T/N</t>
    <phoneticPr fontId="10" type="noConversion"/>
  </si>
  <si>
    <t>06</t>
    <phoneticPr fontId="10" type="noConversion"/>
  </si>
  <si>
    <t>S/N</t>
    <phoneticPr fontId="10" type="noConversion"/>
  </si>
  <si>
    <t>21</t>
    <phoneticPr fontId="10" type="noConversion"/>
  </si>
  <si>
    <t>1W</t>
    <phoneticPr fontId="10" type="noConversion"/>
  </si>
  <si>
    <t>22</t>
    <phoneticPr fontId="10" type="noConversion"/>
  </si>
  <si>
    <t>2W</t>
    <phoneticPr fontId="10" type="noConversion"/>
  </si>
  <si>
    <t>23</t>
    <phoneticPr fontId="10" type="noConversion"/>
  </si>
  <si>
    <t>3W</t>
    <phoneticPr fontId="10" type="noConversion"/>
  </si>
  <si>
    <t>31</t>
    <phoneticPr fontId="10" type="noConversion"/>
  </si>
  <si>
    <t>1M</t>
    <phoneticPr fontId="10" type="noConversion"/>
  </si>
  <si>
    <t>32</t>
    <phoneticPr fontId="10" type="noConversion"/>
  </si>
  <si>
    <t>2M</t>
    <phoneticPr fontId="10" type="noConversion"/>
  </si>
  <si>
    <t>33</t>
    <phoneticPr fontId="10" type="noConversion"/>
  </si>
  <si>
    <t>3M</t>
    <phoneticPr fontId="10" type="noConversion"/>
  </si>
  <si>
    <t>36</t>
    <phoneticPr fontId="10" type="noConversion"/>
  </si>
  <si>
    <t>6M</t>
    <phoneticPr fontId="10" type="noConversion"/>
  </si>
  <si>
    <t>39</t>
    <phoneticPr fontId="10" type="noConversion"/>
  </si>
  <si>
    <t>9M</t>
    <phoneticPr fontId="10" type="noConversion"/>
  </si>
  <si>
    <t>51</t>
    <phoneticPr fontId="10" type="noConversion"/>
  </si>
  <si>
    <t>1Y</t>
    <phoneticPr fontId="10" type="noConversion"/>
  </si>
  <si>
    <t>AB</t>
    <phoneticPr fontId="10" type="noConversion"/>
  </si>
  <si>
    <t>1*2</t>
    <phoneticPr fontId="10" type="noConversion"/>
  </si>
  <si>
    <t>AC</t>
    <phoneticPr fontId="10" type="noConversion"/>
  </si>
  <si>
    <t>1*3</t>
    <phoneticPr fontId="10" type="noConversion"/>
  </si>
  <si>
    <t>AF</t>
    <phoneticPr fontId="10" type="noConversion"/>
  </si>
  <si>
    <t>1*6</t>
    <phoneticPr fontId="10" type="noConversion"/>
  </si>
  <si>
    <t>AI</t>
    <phoneticPr fontId="10" type="noConversion"/>
  </si>
  <si>
    <t>1*9</t>
    <phoneticPr fontId="10" type="noConversion"/>
  </si>
  <si>
    <t>AL</t>
    <phoneticPr fontId="10" type="noConversion"/>
  </si>
  <si>
    <t>1*12</t>
    <phoneticPr fontId="10" type="noConversion"/>
  </si>
  <si>
    <t>61</t>
    <phoneticPr fontId="10" type="noConversion"/>
  </si>
  <si>
    <t>자금(DEPOSIT)</t>
    <phoneticPr fontId="6" type="noConversion"/>
  </si>
  <si>
    <t>현물환</t>
    <phoneticPr fontId="6" type="noConversion"/>
  </si>
  <si>
    <t>통화선도(차액결제제외) DF</t>
    <phoneticPr fontId="6" type="noConversion"/>
  </si>
  <si>
    <t>Average Price FX (SPOT MAR)</t>
    <phoneticPr fontId="6" type="noConversion"/>
  </si>
  <si>
    <t>외환스왑(차액결제제외) FX SWAP</t>
    <phoneticPr fontId="6" type="noConversion"/>
  </si>
  <si>
    <t>외환스왑(차액결제) ND SWAP</t>
    <phoneticPr fontId="6" type="noConversion"/>
  </si>
  <si>
    <t>통화스왑(차액결제제외) CRS</t>
    <phoneticPr fontId="6" type="noConversion"/>
  </si>
  <si>
    <t>통화스왑(차액결제) NDCRS</t>
    <phoneticPr fontId="6" type="noConversion"/>
  </si>
  <si>
    <t>USD</t>
  </si>
  <si>
    <t>KRW</t>
  </si>
  <si>
    <t/>
  </si>
  <si>
    <t xml:space="preserve"> </t>
  </si>
  <si>
    <t>04542.</t>
  </si>
  <si>
    <t>USD/KRW</t>
  </si>
  <si>
    <t>CRS</t>
  </si>
  <si>
    <t>SOFR</t>
  </si>
  <si>
    <t>IRS</t>
  </si>
  <si>
    <t>CD</t>
  </si>
  <si>
    <t>SPOT</t>
  </si>
  <si>
    <t>SPOT MAR</t>
  </si>
  <si>
    <t>유탁균</t>
  </si>
  <si>
    <t>NDF</t>
  </si>
  <si>
    <t>ODD</t>
  </si>
  <si>
    <t>ND SWAP</t>
  </si>
  <si>
    <t>FX SWAP</t>
  </si>
  <si>
    <t>S/N</t>
  </si>
  <si>
    <t>3M</t>
  </si>
  <si>
    <t>1M</t>
  </si>
  <si>
    <t>2M</t>
  </si>
  <si>
    <t>DF</t>
  </si>
  <si>
    <t>DEPOSIT</t>
  </si>
  <si>
    <t>정지혜</t>
  </si>
  <si>
    <t>DEAL NO</t>
  </si>
  <si>
    <t>SEQ</t>
  </si>
  <si>
    <t>STATUS</t>
  </si>
  <si>
    <t>TRADE DATE</t>
  </si>
  <si>
    <t>REFERENCE NO</t>
  </si>
  <si>
    <t>BUYER(LEND)</t>
  </si>
  <si>
    <t>SELLER(BORROW)</t>
  </si>
  <si>
    <t>PRODUCT</t>
  </si>
  <si>
    <t>TENOR</t>
  </si>
  <si>
    <t>AMOUNT</t>
  </si>
  <si>
    <t>FAR RATE(INTEREST)</t>
  </si>
  <si>
    <t>NEAR DATE</t>
  </si>
  <si>
    <t>CCY PAIR</t>
  </si>
  <si>
    <t>B BRO CCY</t>
  </si>
  <si>
    <t>B BRO.</t>
  </si>
  <si>
    <t>S BRO CCY</t>
  </si>
  <si>
    <t>S BRO.</t>
  </si>
  <si>
    <t>B TRADER</t>
  </si>
  <si>
    <t>S TRADER</t>
  </si>
  <si>
    <t>B BROKER</t>
  </si>
  <si>
    <t>S BROKER</t>
  </si>
  <si>
    <t>DEAL TIME</t>
  </si>
  <si>
    <t>NEAR FIXING</t>
  </si>
  <si>
    <t>NEAR MAR</t>
  </si>
  <si>
    <t>FAR FIXING</t>
  </si>
  <si>
    <t>FAR MAR</t>
  </si>
  <si>
    <t>AMENDMENT USER</t>
  </si>
  <si>
    <t>AMENDMENT TIME</t>
  </si>
  <si>
    <t>PDF 출력 구분1</t>
  </si>
  <si>
    <t>PDF 출력 구분2</t>
  </si>
  <si>
    <t>B VIA</t>
  </si>
  <si>
    <t>S VIA</t>
  </si>
  <si>
    <t>B.SETTLE</t>
  </si>
  <si>
    <t>S.SETTLE</t>
  </si>
  <si>
    <t>BUYER NOTES</t>
  </si>
  <si>
    <t>SELLER NOTES</t>
  </si>
  <si>
    <t>B CNFM BRO</t>
  </si>
  <si>
    <t>B CNFM TIME</t>
  </si>
  <si>
    <t>S CNFM BRO</t>
  </si>
  <si>
    <t>S CNFM TIME</t>
  </si>
  <si>
    <t>DEAL 입력정보</t>
  </si>
  <si>
    <t>DEAL 입력번호</t>
  </si>
  <si>
    <t>P</t>
  </si>
  <si>
    <t>KB SEL</t>
  </si>
  <si>
    <t>1.Yes</t>
  </si>
  <si>
    <t>직접입력</t>
  </si>
  <si>
    <t>TO BE ADVISED DIRECT</t>
  </si>
  <si>
    <t>SG SEL</t>
  </si>
  <si>
    <t>ND MAR</t>
  </si>
  <si>
    <t>PAY</t>
  </si>
  <si>
    <t>RECEIVE</t>
  </si>
  <si>
    <t>RATE</t>
  </si>
  <si>
    <t>PAY BRO CCY</t>
  </si>
  <si>
    <t>PAY BRO.</t>
  </si>
  <si>
    <t>REC BRO CCY</t>
  </si>
  <si>
    <t>REC BRO.</t>
  </si>
  <si>
    <t>PAY TRADER</t>
  </si>
  <si>
    <t>REC TRADER</t>
  </si>
  <si>
    <t>PAY BROKER</t>
  </si>
  <si>
    <t>REC BROKER.</t>
  </si>
  <si>
    <t>BREAK CLAUSE YEARS</t>
  </si>
  <si>
    <t>BREAK FREQUENCY</t>
  </si>
  <si>
    <t>BREAK CLAUSE DATE</t>
  </si>
  <si>
    <t>PAY MARKETWIRE ID</t>
  </si>
  <si>
    <t>REC MARKETWIRE ID</t>
  </si>
  <si>
    <t>FLOATING</t>
  </si>
  <si>
    <t>EXEL NO</t>
  </si>
  <si>
    <t>EXEL TIME</t>
  </si>
  <si>
    <t>BNP SEL</t>
  </si>
  <si>
    <t>3Y</t>
  </si>
  <si>
    <t>THE TRADE IS CLEARED VIA : LCH.CLEARNET LIMITED CLEARING</t>
  </si>
  <si>
    <t>51</t>
  </si>
  <si>
    <t>61</t>
  </si>
  <si>
    <t>33</t>
  </si>
  <si>
    <t>04</t>
  </si>
  <si>
    <t>06</t>
  </si>
  <si>
    <t>31</t>
  </si>
  <si>
    <t>11</t>
  </si>
  <si>
    <t>X</t>
    <phoneticPr fontId="6" type="noConversion"/>
  </si>
  <si>
    <t>A열</t>
    <phoneticPr fontId="6" type="noConversion"/>
  </si>
  <si>
    <t>추가설명</t>
    <phoneticPr fontId="6" type="noConversion"/>
  </si>
  <si>
    <t>B열</t>
    <phoneticPr fontId="6" type="noConversion"/>
  </si>
  <si>
    <t>C열</t>
    <phoneticPr fontId="6" type="noConversion"/>
  </si>
  <si>
    <t>D열</t>
    <phoneticPr fontId="6" type="noConversion"/>
  </si>
  <si>
    <t>E열</t>
    <phoneticPr fontId="6" type="noConversion"/>
  </si>
  <si>
    <t>FX. IRS  REFERENCE NO.  뒤에서 5자리 사용</t>
    <phoneticPr fontId="6" type="noConversion"/>
  </si>
  <si>
    <t>F열</t>
    <phoneticPr fontId="6" type="noConversion"/>
  </si>
  <si>
    <t>G열</t>
    <phoneticPr fontId="6" type="noConversion"/>
  </si>
  <si>
    <t>H열</t>
    <phoneticPr fontId="6" type="noConversion"/>
  </si>
  <si>
    <t>모든 통화 
USD로 환산한
 AMOUNT</t>
    <phoneticPr fontId="6" type="noConversion"/>
  </si>
  <si>
    <t>I열</t>
    <phoneticPr fontId="6" type="noConversion"/>
  </si>
  <si>
    <t>3자리</t>
    <phoneticPr fontId="6" type="noConversion"/>
  </si>
  <si>
    <t>[FX SWAP, ND SWAP, SPOT MAR, NDF, DF, ND MAR]
"KRW" 디폴트 
[DEPOSIT]   CCY pair 있는 그대로 사용
[IRS, ND IRS, CRS, ND CRS, FRA, ND FRA, SWAPTION]
CCY pair 뒤에서 3자리 (없는 경우 앞 3자리 사용)</t>
    <phoneticPr fontId="6" type="noConversion"/>
  </si>
  <si>
    <t>[FX SWAP, ND SWAP, SPOT MAR, NDF, DF, ND MAR]
"USD" 디폴트 
[DEPOSIT]   CCY pair 있는 그대로 사용
[IRS, ND IRS, CRS, ND CRS, FRA, ND FRA, SWAPTION]
CCY pair 앞 3자리</t>
    <phoneticPr fontId="6" type="noConversion"/>
  </si>
  <si>
    <t>J열</t>
    <phoneticPr fontId="6" type="noConversion"/>
  </si>
  <si>
    <t>K열</t>
    <phoneticPr fontId="6" type="noConversion"/>
  </si>
  <si>
    <t>FX.IRS 딜 조회 승인화면 DEAL ALL 내역상  "DEAL TIME"</t>
    <phoneticPr fontId="6" type="noConversion"/>
  </si>
  <si>
    <t>"1" 디폴트</t>
    <phoneticPr fontId="6" type="noConversion"/>
  </si>
  <si>
    <t>04542.</t>
    <phoneticPr fontId="6" type="noConversion"/>
  </si>
  <si>
    <t>04542.   값 디폴트</t>
    <phoneticPr fontId="6" type="noConversion"/>
  </si>
  <si>
    <t>"1" 로 디폴트</t>
    <phoneticPr fontId="6" type="noConversion"/>
  </si>
  <si>
    <t>L열</t>
    <phoneticPr fontId="6" type="noConversion"/>
  </si>
  <si>
    <t>YYYYMMDD
【보고대상 상품: 21. 현물환, 22. Average Price FX, 31. 통화선도(차액결제제외), 32. 통화선도(차액결제)】</t>
    <phoneticPr fontId="6" type="noConversion"/>
  </si>
  <si>
    <t>YYYYMMDD</t>
    <phoneticPr fontId="6" type="noConversion"/>
  </si>
  <si>
    <t>M열</t>
    <phoneticPr fontId="6" type="noConversion"/>
  </si>
  <si>
    <r>
      <t>SPOT MAR, DF, NDF, ND MAR  상품만 
FX 딜조회승인화면_DEAL ALL 내역_</t>
    </r>
    <r>
      <rPr>
        <b/>
        <sz val="11"/>
        <color theme="1"/>
        <rFont val="맑은 고딕"/>
        <family val="3"/>
        <charset val="129"/>
        <scheme val="minor"/>
      </rPr>
      <t>FAR DATE</t>
    </r>
    <phoneticPr fontId="6" type="noConversion"/>
  </si>
  <si>
    <t>N열</t>
    <phoneticPr fontId="6" type="noConversion"/>
  </si>
  <si>
    <t>O열</t>
    <phoneticPr fontId="6" type="noConversion"/>
  </si>
  <si>
    <t>이외 모든테너</t>
    <phoneticPr fontId="10" type="noConversion"/>
  </si>
  <si>
    <t>Q열</t>
    <phoneticPr fontId="6" type="noConversion"/>
  </si>
  <si>
    <t>R열</t>
    <phoneticPr fontId="6" type="noConversion"/>
  </si>
  <si>
    <r>
      <t>[SPOT MAR, DF, NDF, ND MAR] 상품만
FX 딜조회승인화면_DEAL ALL 내역_</t>
    </r>
    <r>
      <rPr>
        <b/>
        <sz val="11"/>
        <rFont val="맑은 고딕"/>
        <family val="3"/>
        <charset val="129"/>
        <scheme val="minor"/>
      </rPr>
      <t>FAR RATE</t>
    </r>
    <r>
      <rPr>
        <sz val="11"/>
        <color theme="1"/>
        <rFont val="맑은 고딕"/>
        <family val="3"/>
        <charset val="129"/>
        <scheme val="minor"/>
      </rPr>
      <t xml:space="preserve">
[CRS, ND CRS] 상품만
IRS 딜조회승인화면_DEAL ALL 내역_</t>
    </r>
    <r>
      <rPr>
        <b/>
        <sz val="11"/>
        <rFont val="맑은 고딕"/>
        <family val="3"/>
        <charset val="129"/>
        <scheme val="minor"/>
      </rPr>
      <t>EXCH RATE</t>
    </r>
    <phoneticPr fontId="6" type="noConversion"/>
  </si>
  <si>
    <r>
      <t>[FX SWAP, ND SWAP] 상품만
FX 딜조회승인화면_DEAL ALL 내역_</t>
    </r>
    <r>
      <rPr>
        <b/>
        <sz val="11"/>
        <rFont val="맑은 고딕"/>
        <family val="3"/>
        <charset val="129"/>
        <scheme val="minor"/>
      </rPr>
      <t>NEAR RATE</t>
    </r>
    <phoneticPr fontId="6" type="noConversion"/>
  </si>
  <si>
    <r>
      <t>[FX SWAP, ND SWAP] 상품만
FX 딜조회승인화면_DEAL ALL 내역_</t>
    </r>
    <r>
      <rPr>
        <b/>
        <sz val="11"/>
        <color theme="1"/>
        <rFont val="맑은 고딕"/>
        <family val="3"/>
        <charset val="129"/>
        <scheme val="minor"/>
      </rPr>
      <t>FAR</t>
    </r>
    <r>
      <rPr>
        <b/>
        <sz val="11"/>
        <rFont val="맑은 고딕"/>
        <family val="3"/>
        <charset val="129"/>
        <scheme val="minor"/>
      </rPr>
      <t xml:space="preserve"> RATE</t>
    </r>
    <phoneticPr fontId="6" type="noConversion"/>
  </si>
  <si>
    <t>S열</t>
    <phoneticPr fontId="6" type="noConversion"/>
  </si>
  <si>
    <t>T열</t>
    <phoneticPr fontId="6" type="noConversion"/>
  </si>
  <si>
    <t>U열</t>
    <phoneticPr fontId="6" type="noConversion"/>
  </si>
  <si>
    <r>
      <t>[SPOT MAR] 상품만
FX 딜조회승인화면_DEAL ALL 내역_</t>
    </r>
    <r>
      <rPr>
        <b/>
        <sz val="11"/>
        <color theme="1"/>
        <rFont val="맑은 고딕"/>
        <family val="3"/>
        <charset val="129"/>
        <scheme val="minor"/>
      </rPr>
      <t>MARGIN</t>
    </r>
    <phoneticPr fontId="6" type="noConversion"/>
  </si>
  <si>
    <t>V열</t>
    <phoneticPr fontId="6" type="noConversion"/>
  </si>
  <si>
    <r>
      <t>[IRS, ND IRS, CRS, ND CRS, FRA, ND FRA] 상품만
IRS 딜조회승인화면_DEAL ALL 내역_</t>
    </r>
    <r>
      <rPr>
        <b/>
        <sz val="11"/>
        <color theme="1"/>
        <rFont val="맑은 고딕"/>
        <family val="3"/>
        <charset val="129"/>
        <scheme val="minor"/>
      </rPr>
      <t xml:space="preserve">INDEX
</t>
    </r>
    <r>
      <rPr>
        <sz val="11"/>
        <color theme="1"/>
        <rFont val="맑은 고딕"/>
        <family val="3"/>
        <charset val="129"/>
        <scheme val="minor"/>
      </rPr>
      <t>기준으로 고유코드 기입</t>
    </r>
    <phoneticPr fontId="6" type="noConversion"/>
  </si>
  <si>
    <t>W열</t>
    <phoneticPr fontId="6" type="noConversion"/>
  </si>
  <si>
    <t>X열</t>
    <phoneticPr fontId="6" type="noConversion"/>
  </si>
  <si>
    <t>적용 내용</t>
    <phoneticPr fontId="6" type="noConversion"/>
  </si>
  <si>
    <t>TENOR</t>
    <phoneticPr fontId="23" type="noConversion"/>
  </si>
  <si>
    <t>MARGIN(TERM)</t>
    <phoneticPr fontId="23" type="noConversion"/>
  </si>
  <si>
    <t>NEAR RATE(RATE)</t>
    <phoneticPr fontId="23" type="noConversion"/>
  </si>
  <si>
    <t>FAR DATE</t>
    <phoneticPr fontId="23" type="noConversion"/>
  </si>
  <si>
    <t>SHB HKG</t>
  </si>
  <si>
    <t>AUD</t>
  </si>
  <si>
    <t>안준영</t>
  </si>
  <si>
    <t>Irus Wong</t>
  </si>
  <si>
    <t>ANZ MELBOURNE(ANZBAU3M) A/C 816686AUD00001 (CZNBKRSE)</t>
  </si>
  <si>
    <t>COMMONWEALTH BANK OF AUSTRALIA SYDNEY(CTBAAU2SXXX) A/C 06796710003886(SHBKHKHX)</t>
  </si>
  <si>
    <t>CAD</t>
  </si>
  <si>
    <t>황윤미</t>
  </si>
  <si>
    <t>BOCOM SEL</t>
  </si>
  <si>
    <t>O/N</t>
  </si>
  <si>
    <t>CNH</t>
  </si>
  <si>
    <t>최주현</t>
  </si>
  <si>
    <t>TRADITION CHN</t>
  </si>
  <si>
    <t>BOC HKG (BKCHHKHH838) FOR BOC SEL (BKCHKRSE) IN FAVOR OF PUSBKR2PINT A/C 100000200177706</t>
  </si>
  <si>
    <t>BANK OF CHINA HK CLEARING CENTRE (BKCHHKHH838) A/C 01287560119126 (COMMKRSEXXX)</t>
  </si>
  <si>
    <t>EUR</t>
  </si>
  <si>
    <t>김정경</t>
  </si>
  <si>
    <t>자금부</t>
  </si>
  <si>
    <t>LLOYDS BANK LDN(LOYDGB2L) A/C 59003866(HVBKGB2L)</t>
  </si>
  <si>
    <t>CHINA CONSTRUCTION BANK FRANKFURT(PCBCDEFF) A/C 15-00-110028 (PCBCKRSE)</t>
  </si>
  <si>
    <t>GBP</t>
  </si>
  <si>
    <t>HKD</t>
  </si>
  <si>
    <t>Cindy Chung</t>
  </si>
  <si>
    <t>CIMB KUL</t>
  </si>
  <si>
    <t>JPY</t>
  </si>
  <si>
    <t>TULLETT HKG</t>
  </si>
  <si>
    <t>NZD</t>
  </si>
  <si>
    <t>신문경</t>
  </si>
  <si>
    <t>SGD</t>
  </si>
  <si>
    <t>JP MORGAN CHASE NYK(CHASUS33) A/C 780-2-54611(HVBKSGSG)</t>
  </si>
  <si>
    <t>BANK OF NEW YORK MELLON NYK(IRVTUS3N) A/C 890-1324-728(EVERKRSEXXX)</t>
  </si>
  <si>
    <t>김예슬</t>
  </si>
  <si>
    <t>장원준</t>
  </si>
  <si>
    <t>장유성</t>
  </si>
  <si>
    <t>윤나라</t>
  </si>
  <si>
    <t>2*3</t>
  </si>
  <si>
    <t>민선희</t>
  </si>
  <si>
    <t>ㅇㅇㅇㅇ</t>
  </si>
  <si>
    <t>KRW/USD</t>
    <phoneticPr fontId="23" type="noConversion"/>
  </si>
  <si>
    <t>최원</t>
  </si>
  <si>
    <t>이현직</t>
  </si>
  <si>
    <t>ㅇㅇㅇ</t>
  </si>
  <si>
    <t>EUR/KRW</t>
    <phoneticPr fontId="23" type="noConversion"/>
  </si>
  <si>
    <t>GBP/KRW</t>
    <phoneticPr fontId="23" type="noConversion"/>
  </si>
  <si>
    <t>HKD/KRW</t>
    <phoneticPr fontId="23" type="noConversion"/>
  </si>
  <si>
    <t>CNH/KRW</t>
    <phoneticPr fontId="23" type="noConversion"/>
  </si>
  <si>
    <t>JPY/KRW</t>
    <phoneticPr fontId="23" type="noConversion"/>
  </si>
  <si>
    <t>강찬용</t>
  </si>
  <si>
    <t>송윤옥</t>
  </si>
  <si>
    <t>1*4</t>
  </si>
  <si>
    <t>이상민</t>
  </si>
  <si>
    <t>체결Confirm</t>
  </si>
  <si>
    <t>이종민</t>
  </si>
  <si>
    <t>조가영</t>
  </si>
  <si>
    <t>VALUE DATE</t>
    <phoneticPr fontId="23" type="noConversion"/>
  </si>
  <si>
    <t>MATURITY DATE</t>
    <phoneticPr fontId="23" type="noConversion"/>
  </si>
  <si>
    <t>EXCH RATE</t>
    <phoneticPr fontId="23" type="noConversion"/>
  </si>
  <si>
    <t>INDEX</t>
    <phoneticPr fontId="23" type="noConversion"/>
  </si>
  <si>
    <t>15Y</t>
  </si>
  <si>
    <t>DG마킷</t>
  </si>
  <si>
    <t>노마킷</t>
  </si>
  <si>
    <t>한국금융아이티1</t>
  </si>
  <si>
    <t>전영애</t>
  </si>
  <si>
    <t>강진영</t>
  </si>
  <si>
    <t>TEST3</t>
  </si>
  <si>
    <t>FRA</t>
  </si>
  <si>
    <t>테스트 영애</t>
  </si>
  <si>
    <t>THE TRADE IS CLEARED VIA : KOREA EXCHANGE(KRX) CLEARING</t>
  </si>
  <si>
    <t>jykang</t>
  </si>
  <si>
    <t>12Y</t>
  </si>
  <si>
    <t>ND CRS</t>
  </si>
  <si>
    <t>ND FRA</t>
  </si>
  <si>
    <t>ND IRS</t>
  </si>
  <si>
    <t>보고서
엑셀위치</t>
    <phoneticPr fontId="6" type="noConversion"/>
  </si>
  <si>
    <t>중개사 경유 외환 및 파생상품거래내역</t>
    <phoneticPr fontId="7" type="noConversion"/>
  </si>
  <si>
    <t>외국환거래규정 제3-4조</t>
    <phoneticPr fontId="7" type="noConversion"/>
  </si>
  <si>
    <t>외국환중개회사</t>
    <phoneticPr fontId="7" type="noConversion"/>
  </si>
  <si>
    <t>보고점포그룹구분 : 본점일반(1)   / 보고주기 및 시한 : 일보(익영업일 11시)</t>
    <phoneticPr fontId="7" type="noConversion"/>
  </si>
  <si>
    <t>"1" 디폴트 (2.3번 삭제. 수정은 수작업처리)</t>
    <phoneticPr fontId="6" type="noConversion"/>
  </si>
  <si>
    <t>11. 자금, 21. 현물환, 22. Average Price FX, 31. 통화선도(차액결제제외), 32. 통화선도(차액결제), 33. 외환스왑(차액결제제외), 34. 외환스왑(차액결제), 35. 통화스왑(차액결제제외), 36. 통화스왑(차액결제), 37. 통화옵션, 41. 이자율스왑(원화), 42. 이자율스왑(외화), 43. OIS스왑,44. 이자율옵션, 45. FRA</t>
    <phoneticPr fontId="10" type="noConversion"/>
  </si>
  <si>
    <t>*FX SWAP, ND SWAP, SPOT MAR, NDF, DF, ND MAR*
BUYER 은행코드 앞 4자리
예외: FX SWAP_CCY Pair_KRW/USD 인 경우 SELLER 4자리
**DEPOSIT**   Borrower 은행코드 앞 4자리
*IRS, ND IRS, CRS, ND CRS, FRA, ND FRA, SWAPTION*
PAY 은행코드 앞 4자리</t>
    <phoneticPr fontId="6" type="noConversion"/>
  </si>
  <si>
    <t>*FX SWAP, ND SWAP, SPOT MAR, NDF, DF, ND MAR*
SELLER 은행코드 앞 4자리
예외: FX SWAP_CCY Pair_KRW/USD 인 경우 BUYER 4자리
**DEPOSIT**   Lender 은행코드 앞 4자리
*IRS, ND IRS, CRS, ND CRS, FRA, ND FRA, SWAPTION*
RECEIVE 은행코드 앞 4자리</t>
    <phoneticPr fontId="6" type="noConversion"/>
  </si>
  <si>
    <r>
      <t xml:space="preserve">[11] DEPOSIT   [22] SPOT MAR  [31] DF      [32] NDF &amp; ND MAR 
[33] FX SWAP  [34] ND SWAP   [35] CRS     [36] ND CRS  
[41] IRS-KRW &amp; ND IRS-KRW    [42] IRS-USD &amp; &amp; ND IRS-USD
[45] FRA &amp; ND FRA                 [44] SWAPTION
</t>
    </r>
    <r>
      <rPr>
        <b/>
        <sz val="11"/>
        <color theme="1"/>
        <rFont val="맑은 고딕"/>
        <family val="3"/>
        <charset val="129"/>
        <scheme val="minor"/>
      </rPr>
      <t xml:space="preserve">
** (ND) IRS 중에서 거래통화 KRW와 USD 상품코드가 상이**</t>
    </r>
    <phoneticPr fontId="6" type="noConversion"/>
  </si>
  <si>
    <t>P열</t>
    <phoneticPr fontId="6" type="noConversion"/>
  </si>
  <si>
    <r>
      <t>[SWAPTION] 상품만
IRS 딜조회승인화면_DEAL ALL 내역_</t>
    </r>
    <r>
      <rPr>
        <b/>
        <sz val="11"/>
        <color theme="1"/>
        <rFont val="맑은 고딕"/>
        <family val="3"/>
        <charset val="129"/>
        <scheme val="minor"/>
      </rPr>
      <t>MATURITY DATE</t>
    </r>
    <phoneticPr fontId="6" type="noConversion"/>
  </si>
  <si>
    <r>
      <t>[DEPOSIT] 상품만
FX 딜조회승인화면_DEAL ALL 내역_</t>
    </r>
    <r>
      <rPr>
        <b/>
        <sz val="11"/>
        <color theme="1"/>
        <rFont val="맑은 고딕"/>
        <family val="3"/>
        <charset val="129"/>
        <scheme val="minor"/>
      </rPr>
      <t>NEAR</t>
    </r>
    <r>
      <rPr>
        <b/>
        <sz val="11"/>
        <rFont val="맑은 고딕"/>
        <family val="3"/>
        <charset val="129"/>
        <scheme val="minor"/>
      </rPr>
      <t xml:space="preserve"> RATE</t>
    </r>
    <r>
      <rPr>
        <sz val="11"/>
        <color theme="1"/>
        <rFont val="맑은 고딕"/>
        <family val="3"/>
        <charset val="129"/>
        <scheme val="minor"/>
      </rPr>
      <t xml:space="preserve">
[IRS, ND IRS, CRS, ND CRS, FRA, ND FRA,SWAPTION] 상품만
IRS 딜조회승인화면_DEAL ALL 내역_</t>
    </r>
    <r>
      <rPr>
        <b/>
        <sz val="11"/>
        <rFont val="맑은 고딕"/>
        <family val="3"/>
        <charset val="129"/>
        <scheme val="minor"/>
      </rPr>
      <t>RATE</t>
    </r>
    <phoneticPr fontId="6" type="noConversion"/>
  </si>
  <si>
    <t>FX.IRS 딜 조회 승인화면 DEAL ALL 내역상
CCY PAIR 앞 3자리가 
1. "USD"일 경우:  그대로 사용.
2. "KRW"일 경우:  TRADE DATE의 기준환율(Base Rate)로 나누기.
3. "그외 ccy"일 경우:
    Exchange Rate 화면_해당통화 Cross Rate로 나누거나 곱하기.
   **곱해야하는 CCY:  EUR,AUD,GBP,NZD,CNH 
   **나눠야하는 CCY:  SGD,HKD,JPY,CAD,CHF,NOK,SEK,DKK,THB,AED</t>
    <phoneticPr fontId="6" type="noConversion"/>
  </si>
  <si>
    <t>단위 : USD (기타통화는 USD환산금액)
■ '33. 외환스왑(차액결제제외), 34. 외환스왑(차액결제)'의 경우 근일물거래금액을 입력
■ '37. 통화옵션, 44. 이자율옵션'의 경우 옵션프리미엄이 아닌 명목금액을 입력</t>
    <phoneticPr fontId="10" type="noConversion"/>
  </si>
  <si>
    <t>■ '11. 자금'의 경우, 거래되는 해당 통화를 동일하게 기입
■ 일반적으로 2개의 통화를 교환하는 모든 외환상품에서는 EUR GBP AUD NZD USD JPY CNH KRW 등의 순서에 따라 앞에 오는 것을 기준통화(base currency)로, 뒤에 오는 것을 상대통화(counter currency)로 분류. (기준통화코드에 USD가 오지 않는 경우에 유의)
ex. (기준/상대) : EUR/USD, EUR/GBP, GBP/USD, USD/JPY, JPY/KRW, USD/KRW 등
■ 외국통화가 수반되지 않는 원화거래(예: '11. 자금, 43. OIS스왑, 44. 이자율옵션' 중 원화 거래인 경우 및 '41. 이자율스왑(원화)' 등)는 기준통화코드와 상대통화코드에 모두 원화(KRW)를 입력</t>
    <phoneticPr fontId="10" type="noConversion"/>
  </si>
  <si>
    <t>HHMMSS</t>
    <phoneticPr fontId="6" type="noConversion"/>
  </si>
  <si>
    <t>HHMMSS</t>
    <phoneticPr fontId="6" type="noConversion"/>
  </si>
  <si>
    <t>4자리</t>
    <phoneticPr fontId="6" type="noConversion"/>
  </si>
  <si>
    <t>5자리</t>
    <phoneticPr fontId="6" type="noConversion"/>
  </si>
  <si>
    <t>2자리</t>
    <phoneticPr fontId="6" type="noConversion"/>
  </si>
  <si>
    <r>
      <t>[FX SWAP, ND SWAP, DEPOSIT] 상품만
FX 딜조회승인화면_DEAL ALL 내역_</t>
    </r>
    <r>
      <rPr>
        <b/>
        <sz val="11"/>
        <color theme="1"/>
        <rFont val="맑은 고딕"/>
        <family val="3"/>
        <charset val="129"/>
        <scheme val="minor"/>
      </rPr>
      <t xml:space="preserve">FAR DATE
</t>
    </r>
    <r>
      <rPr>
        <sz val="11"/>
        <color theme="1"/>
        <rFont val="맑은 고딕"/>
        <family val="3"/>
        <charset val="129"/>
        <scheme val="minor"/>
      </rPr>
      <t>[IRS, ND IRS, CRS, ND CRS, FRA, ND FRA]</t>
    </r>
    <r>
      <rPr>
        <b/>
        <sz val="11"/>
        <color theme="1"/>
        <rFont val="맑은 고딕"/>
        <family val="3"/>
        <charset val="129"/>
        <scheme val="minor"/>
      </rPr>
      <t xml:space="preserve">
</t>
    </r>
    <r>
      <rPr>
        <sz val="11"/>
        <color theme="1"/>
        <rFont val="맑은 고딕"/>
        <family val="3"/>
        <charset val="129"/>
        <scheme val="minor"/>
      </rPr>
      <t>IRS 딜조회승인화면_DEAL ALL 내역</t>
    </r>
    <r>
      <rPr>
        <b/>
        <sz val="11"/>
        <color theme="1"/>
        <rFont val="맑은 고딕"/>
        <family val="3"/>
        <charset val="129"/>
        <scheme val="minor"/>
      </rPr>
      <t>_MATURITY DATE</t>
    </r>
    <phoneticPr fontId="6" type="noConversion"/>
  </si>
  <si>
    <r>
      <t>[FX SWAP, ND SWAP, DEPOSIT] 상품만
FX 딜조회승인화면_DEAL ALL 내역_</t>
    </r>
    <r>
      <rPr>
        <b/>
        <sz val="11"/>
        <color theme="1"/>
        <rFont val="맑은 고딕"/>
        <family val="3"/>
        <charset val="129"/>
        <scheme val="minor"/>
      </rPr>
      <t xml:space="preserve">NEAR DATE
</t>
    </r>
    <r>
      <rPr>
        <sz val="11"/>
        <color theme="1"/>
        <rFont val="맑은 고딕"/>
        <family val="3"/>
        <charset val="129"/>
        <scheme val="minor"/>
      </rPr>
      <t>[IRS, ND IRS, CRS, ND CRS, FRA, ND FRA]</t>
    </r>
    <r>
      <rPr>
        <b/>
        <sz val="11"/>
        <color theme="1"/>
        <rFont val="맑은 고딕"/>
        <family val="3"/>
        <charset val="129"/>
        <scheme val="minor"/>
      </rPr>
      <t xml:space="preserve">
</t>
    </r>
    <r>
      <rPr>
        <sz val="11"/>
        <color theme="1"/>
        <rFont val="맑은 고딕"/>
        <family val="3"/>
        <charset val="129"/>
        <scheme val="minor"/>
      </rPr>
      <t>IRS 딜조회승인화면_DEAL ALL 내역</t>
    </r>
    <r>
      <rPr>
        <b/>
        <sz val="11"/>
        <color theme="1"/>
        <rFont val="맑은 고딕"/>
        <family val="3"/>
        <charset val="129"/>
        <scheme val="minor"/>
      </rPr>
      <t>_VALUE DATE</t>
    </r>
    <phoneticPr fontId="6" type="noConversion"/>
  </si>
  <si>
    <r>
      <t>[DEPOSIT, DF, NDF, ND MAR, FX SWAP, ND SWAP] 상품만
FX 딜조회승인화면_DEAL ALL 내역_</t>
    </r>
    <r>
      <rPr>
        <b/>
        <sz val="11"/>
        <rFont val="맑은 고딕"/>
        <family val="3"/>
        <charset val="129"/>
        <scheme val="minor"/>
      </rPr>
      <t xml:space="preserve">TENOR  </t>
    </r>
    <r>
      <rPr>
        <b/>
        <sz val="11"/>
        <color theme="1"/>
        <rFont val="맑은 고딕"/>
        <family val="3"/>
        <charset val="129"/>
        <scheme val="minor"/>
      </rPr>
      <t xml:space="preserve">
</t>
    </r>
    <r>
      <rPr>
        <sz val="11"/>
        <color theme="1"/>
        <rFont val="맑은 고딕"/>
        <family val="3"/>
        <charset val="129"/>
        <scheme val="minor"/>
      </rPr>
      <t>기준으로 고유코드 기입</t>
    </r>
    <phoneticPr fontId="6" type="noConversion"/>
  </si>
  <si>
    <t>2자리</t>
    <phoneticPr fontId="6" type="noConversion"/>
  </si>
  <si>
    <t>LIBOR</t>
  </si>
  <si>
    <t>01</t>
  </si>
  <si>
    <t>10</t>
  </si>
  <si>
    <t>SOFR Term Rate</t>
  </si>
  <si>
    <t>EURIBOR</t>
  </si>
  <si>
    <t>02</t>
  </si>
  <si>
    <t>03</t>
  </si>
  <si>
    <t>EURO-LIBOR</t>
  </si>
  <si>
    <t>SIBOR</t>
  </si>
  <si>
    <t>05</t>
  </si>
  <si>
    <t>TIBOR</t>
  </si>
  <si>
    <t>HIBOR</t>
  </si>
  <si>
    <t>07</t>
  </si>
  <si>
    <t>기타</t>
  </si>
  <si>
    <t>09</t>
  </si>
  <si>
    <t>통화선도(차액결제) NDF, ND MAR</t>
    <phoneticPr fontId="6" type="noConversion"/>
  </si>
  <si>
    <t>이자율스왑(원화) IRS-KRW, ND IRS-KRW</t>
    <phoneticPr fontId="6" type="noConversion"/>
  </si>
  <si>
    <t>이자율스왑(외화) IRS-USD, ND IRS-USD</t>
    <phoneticPr fontId="6" type="noConversion"/>
  </si>
  <si>
    <t>이자율옵션  (SWAPTION)</t>
    <phoneticPr fontId="6" type="noConversion"/>
  </si>
  <si>
    <t>FRA (ND FRA)</t>
    <phoneticPr fontId="6" type="noConversion"/>
  </si>
  <si>
    <t>[IRS, ND IRS, CRS, ND CRS, FRA, ND FRA] 상품만
 "0" 값 디폴트</t>
    <phoneticPr fontId="6" type="noConversion"/>
  </si>
  <si>
    <t>BNP SEL</t>
    <phoneticPr fontId="6" type="noConversion"/>
  </si>
  <si>
    <t>KB SEL</t>
    <phoneticPr fontId="6" type="noConversion"/>
  </si>
  <si>
    <t>DGB SEL</t>
    <phoneticPr fontId="6" type="noConversion"/>
  </si>
  <si>
    <t>USD</t>
    <phoneticPr fontId="6" type="noConversion"/>
  </si>
  <si>
    <t>BNP PAR</t>
    <phoneticPr fontId="6" type="noConversion"/>
  </si>
  <si>
    <t>SWAPTION</t>
    <phoneticPr fontId="6" type="noConversion"/>
  </si>
  <si>
    <t>IBK HKG</t>
    <phoneticPr fontId="6" type="noConversion"/>
  </si>
  <si>
    <t>IBK SEL</t>
    <phoneticPr fontId="6" type="noConversion"/>
  </si>
  <si>
    <t>CS SGP</t>
    <phoneticPr fontId="6" type="noConversion"/>
  </si>
  <si>
    <t>CS SEL</t>
    <phoneticPr fontId="6" type="noConversion"/>
  </si>
  <si>
    <t>SHB HKG</t>
    <phoneticPr fontId="6" type="noConversion"/>
  </si>
  <si>
    <t>SHB SEL</t>
    <phoneticPr fontId="6" type="noConversion"/>
  </si>
  <si>
    <t>SG PAR</t>
    <phoneticPr fontId="6" type="noConversion"/>
  </si>
  <si>
    <t>SG SEL</t>
    <phoneticPr fontId="6" type="noConversion"/>
  </si>
  <si>
    <t>CCB SEL</t>
    <phoneticPr fontId="6" type="noConversion"/>
  </si>
  <si>
    <t>CCB HKG</t>
    <phoneticPr fontId="6" type="noConversion"/>
  </si>
  <si>
    <t>KB SGP</t>
    <phoneticPr fontId="6" type="noConversion"/>
  </si>
  <si>
    <t>00133</t>
  </si>
  <si>
    <t>00155</t>
  </si>
  <si>
    <t>00111</t>
  </si>
  <si>
    <t>01211</t>
  </si>
  <si>
    <t>00144</t>
  </si>
  <si>
    <t>00266</t>
  </si>
  <si>
    <t>00422</t>
  </si>
  <si>
    <t>00177</t>
  </si>
  <si>
    <t>00277</t>
  </si>
  <si>
    <t>KRW</t>
    <phoneticPr fontId="6" type="noConversion"/>
  </si>
  <si>
    <t>USD</t>
    <phoneticPr fontId="6" type="noConversion"/>
  </si>
  <si>
    <t>11</t>
    <phoneticPr fontId="6" type="noConversion"/>
  </si>
  <si>
    <t>10</t>
    <phoneticPr fontId="6" type="noConversion"/>
  </si>
  <si>
    <t>한국은행보고서명 FX0074 샘플로 작성
노란색 내용- FX 딜승인조회화면에서 "FX DEAL ALL" 내역 기반으로 작성
초록색 내용- IRS 딜승인조회화면에서 "IRS DEAL ALL" 내역 기반으로 작성
(FXIRS DEAL ALL 내역에서 필요한값의 열만 색상 표시)</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</si>
</sst>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 #,##0_-;_-* &quot;-&quot;_-;_-@_-"/>
    <numFmt numFmtId="176" formatCode="0_);[Red]\(0\)"/>
    <numFmt numFmtId="177" formatCode="0_ "/>
    <numFmt numFmtId="178" formatCode="_-* #,##0.00_-;\-* #,##0.00_-;_-* &quot;-&quot;_-;_-@_-"/>
    <numFmt numFmtId="179" formatCode="0.00_);[Red]\(0.00\)"/>
    <numFmt numFmtId="180" formatCode="0.0000_);[Red]\(0.0000\)"/>
    <numFmt numFmtId="181" formatCode="mm&quot;월&quot;\ dd&quot;일&quot;"/>
    <numFmt numFmtId="182" formatCode="000\-000"/>
  </numFmts>
  <fonts count="51">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20"/>
      <name val="돋움"/>
      <family val="3"/>
      <charset val="129"/>
    </font>
    <font>
      <sz val="8"/>
      <name val="맑은 고딕"/>
      <family val="3"/>
      <charset val="129"/>
      <scheme val="minor"/>
    </font>
    <font>
      <sz val="12"/>
      <name val="바탕체"/>
      <family val="1"/>
      <charset val="129"/>
    </font>
    <font>
      <sz val="11"/>
      <name val="돋움"/>
      <family val="3"/>
      <charset val="129"/>
    </font>
    <font>
      <sz val="10"/>
      <name val="돋움"/>
      <family val="3"/>
      <charset val="129"/>
    </font>
    <font>
      <sz val="8"/>
      <name val="맑은 고딕"/>
      <family val="3"/>
      <charset val="129"/>
    </font>
    <font>
      <b/>
      <sz val="11"/>
      <name val="굴림체"/>
      <family val="3"/>
      <charset val="129"/>
    </font>
    <font>
      <sz val="8"/>
      <name val="돋움"/>
      <family val="3"/>
      <charset val="129"/>
    </font>
    <font>
      <sz val="11"/>
      <color indexed="8"/>
      <name val="돋움"/>
      <family val="3"/>
      <charset val="129"/>
    </font>
    <font>
      <b/>
      <sz val="10"/>
      <name val="돋움"/>
      <family val="3"/>
      <charset val="129"/>
    </font>
    <font>
      <b/>
      <sz val="8"/>
      <name val="돋움"/>
      <family val="3"/>
      <charset val="129"/>
    </font>
    <font>
      <b/>
      <sz val="11"/>
      <name val="돋움"/>
      <family val="3"/>
      <charset val="129"/>
    </font>
    <font>
      <sz val="11"/>
      <color theme="1"/>
      <name val="굴림체"/>
      <family val="3"/>
      <charset val="129"/>
    </font>
    <font>
      <sz val="10"/>
      <color theme="1"/>
      <name val="돋움"/>
      <family val="3"/>
      <charset val="129"/>
    </font>
    <font>
      <sz val="10"/>
      <color theme="1"/>
      <name val="굴림체"/>
      <family val="3"/>
      <charset val="129"/>
    </font>
    <font>
      <sz val="10"/>
      <color theme="1"/>
      <name val="굴림"/>
      <family val="3"/>
      <charset val="129"/>
    </font>
    <font>
      <sz val="10"/>
      <name val="굴림"/>
      <family val="3"/>
      <charset val="129"/>
    </font>
    <font>
      <sz val="11"/>
      <color theme="1"/>
      <name val="맑은 고딕"/>
      <family val="3"/>
      <charset val="129"/>
      <scheme val="minor"/>
    </font>
    <font>
      <sz val="8"/>
      <name val="맑은 고딕"/>
      <family val="2"/>
      <charset val="129"/>
      <scheme val="minor"/>
    </font>
    <font>
      <sz val="10"/>
      <color theme="1"/>
      <name val="맑은 고딕"/>
      <family val="2"/>
      <charset val="129"/>
      <scheme val="minor"/>
    </font>
    <font>
      <sz val="10"/>
      <name val="맑은 고딕"/>
      <family val="3"/>
      <charset val="129"/>
      <scheme val="minor"/>
    </font>
    <font>
      <sz val="10"/>
      <name val="맑은 고딕"/>
      <family val="2"/>
      <charset val="129"/>
      <scheme val="minor"/>
    </font>
    <font>
      <sz val="10"/>
      <name val="Arial"/>
      <family val="2"/>
    </font>
    <font>
      <u/>
      <sz val="11"/>
      <color theme="10"/>
      <name val="맑은 고딕"/>
      <family val="2"/>
      <charset val="129"/>
      <scheme val="minor"/>
    </font>
    <font>
      <u/>
      <sz val="11"/>
      <color indexed="12"/>
      <name val="돋움"/>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name val="돋움체"/>
      <family val="3"/>
      <charset val="129"/>
    </font>
    <font>
      <b/>
      <sz val="11"/>
      <color theme="1"/>
      <name val="맑은 고딕"/>
      <family val="3"/>
      <charset val="129"/>
      <scheme val="minor"/>
    </font>
    <font>
      <b/>
      <sz val="11"/>
      <name val="맑은 고딕"/>
      <family val="3"/>
      <charset val="129"/>
      <scheme val="minor"/>
    </font>
    <font>
      <b/>
      <sz val="11"/>
      <color indexed="8"/>
      <name val="돋움"/>
      <family val="3"/>
      <charset val="129"/>
    </font>
    <font>
      <sz val="11"/>
      <name val="맑은 고딕"/>
      <family val="3"/>
      <charset val="129"/>
      <scheme val="minor"/>
    </font>
  </fonts>
  <fills count="41">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72">
    <xf numFmtId="0" fontId="0" fillId="0" borderId="0">
      <alignment vertical="center"/>
    </xf>
    <xf numFmtId="0" fontId="8" fillId="0" borderId="0"/>
    <xf numFmtId="0" fontId="8" fillId="0" borderId="0"/>
    <xf numFmtId="41" fontId="4" fillId="0" borderId="0" applyFont="0" applyFill="0" applyBorder="0" applyAlignment="0" applyProtection="0">
      <alignment vertical="center"/>
    </xf>
    <xf numFmtId="0" fontId="4" fillId="0" borderId="0">
      <alignment vertical="center"/>
    </xf>
    <xf numFmtId="0" fontId="8" fillId="0" borderId="0"/>
    <xf numFmtId="0" fontId="4" fillId="5" borderId="2" applyNumberFormat="0" applyFont="0" applyAlignment="0" applyProtection="0">
      <alignment vertical="center"/>
    </xf>
    <xf numFmtId="9" fontId="8" fillId="0" borderId="0" applyFont="0" applyFill="0" applyBorder="0" applyAlignment="0" applyProtection="0"/>
    <xf numFmtId="41" fontId="8"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22" fillId="0" borderId="0">
      <alignment vertical="center"/>
    </xf>
    <xf numFmtId="0" fontId="27" fillId="0" borderId="0">
      <alignment vertical="center"/>
    </xf>
    <xf numFmtId="0" fontId="8" fillId="0" borderId="0"/>
    <xf numFmtId="0" fontId="22" fillId="0" borderId="0">
      <alignment vertical="center"/>
    </xf>
    <xf numFmtId="0" fontId="22" fillId="0" borderId="0">
      <alignment vertical="center"/>
    </xf>
    <xf numFmtId="0" fontId="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top"/>
      <protection locked="0"/>
    </xf>
    <xf numFmtId="0" fontId="3" fillId="0" borderId="0">
      <alignment vertical="center"/>
    </xf>
    <xf numFmtId="0" fontId="30" fillId="0" borderId="0" applyNumberFormat="0" applyFill="0" applyBorder="0" applyAlignment="0" applyProtection="0">
      <alignment vertical="center"/>
    </xf>
    <xf numFmtId="0" fontId="31" fillId="0" borderId="3" applyNumberFormat="0" applyFill="0" applyAlignment="0" applyProtection="0">
      <alignment vertical="center"/>
    </xf>
    <xf numFmtId="0" fontId="32" fillId="0" borderId="4" applyNumberFormat="0" applyFill="0" applyAlignment="0" applyProtection="0">
      <alignment vertical="center"/>
    </xf>
    <xf numFmtId="0" fontId="33" fillId="0" borderId="5" applyNumberFormat="0" applyFill="0" applyAlignment="0" applyProtection="0">
      <alignment vertical="center"/>
    </xf>
    <xf numFmtId="0" fontId="33" fillId="0" borderId="0" applyNumberFormat="0" applyFill="0" applyBorder="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6" applyNumberFormat="0" applyAlignment="0" applyProtection="0">
      <alignment vertical="center"/>
    </xf>
    <xf numFmtId="0" fontId="38" fillId="11" borderId="7" applyNumberFormat="0" applyAlignment="0" applyProtection="0">
      <alignment vertical="center"/>
    </xf>
    <xf numFmtId="0" fontId="39" fillId="11" borderId="6" applyNumberFormat="0" applyAlignment="0" applyProtection="0">
      <alignment vertical="center"/>
    </xf>
    <xf numFmtId="0" fontId="40" fillId="0" borderId="8" applyNumberFormat="0" applyFill="0" applyAlignment="0" applyProtection="0">
      <alignment vertical="center"/>
    </xf>
    <xf numFmtId="0" fontId="41" fillId="12" borderId="9" applyNumberForma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0" applyNumberFormat="0" applyFill="0" applyAlignment="0" applyProtection="0">
      <alignment vertical="center"/>
    </xf>
    <xf numFmtId="0" fontId="45"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2" fillId="34" borderId="0" applyNumberFormat="0" applyBorder="0" applyAlignment="0" applyProtection="0">
      <alignment vertical="center"/>
    </xf>
    <xf numFmtId="0" fontId="2" fillId="35" borderId="0" applyNumberFormat="0" applyBorder="0" applyAlignment="0" applyProtection="0">
      <alignment vertical="center"/>
    </xf>
    <xf numFmtId="0" fontId="45" fillId="36" borderId="0" applyNumberFormat="0" applyBorder="0" applyAlignment="0" applyProtection="0">
      <alignment vertical="center"/>
    </xf>
    <xf numFmtId="0" fontId="2" fillId="0" borderId="0">
      <alignment vertical="center"/>
    </xf>
    <xf numFmtId="0" fontId="46" fillId="0" borderId="0"/>
    <xf numFmtId="41" fontId="2" fillId="0" borderId="0" applyFont="0" applyFill="0" applyBorder="0" applyAlignment="0" applyProtection="0">
      <alignment vertical="center"/>
    </xf>
    <xf numFmtId="0" fontId="2" fillId="5" borderId="2" applyNumberFormat="0" applyFont="0" applyAlignment="0" applyProtection="0">
      <alignment vertical="center"/>
    </xf>
    <xf numFmtId="41" fontId="2" fillId="0" borderId="0" applyFont="0" applyFill="0" applyBorder="0" applyAlignment="0" applyProtection="0">
      <alignment vertical="center"/>
    </xf>
    <xf numFmtId="41" fontId="8" fillId="0" borderId="0" applyFont="0" applyFill="0" applyBorder="0" applyAlignment="0" applyProtection="0"/>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5" borderId="2" applyNumberFormat="0" applyFont="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41" fontId="1" fillId="0" borderId="0" applyFont="0" applyFill="0" applyBorder="0" applyAlignment="0" applyProtection="0">
      <alignment vertical="center"/>
    </xf>
    <xf numFmtId="0" fontId="1" fillId="5" borderId="2" applyNumberFormat="0" applyFont="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5" borderId="2" applyNumberFormat="0" applyFont="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cellStyleXfs>
  <cellXfs count="189">
    <xf numFmtId="0" fontId="0" fillId="0" borderId="0" xfId="0">
      <alignment vertical="center"/>
    </xf>
    <xf numFmtId="0" fontId="9" fillId="2" borderId="0" xfId="0" applyFont="1" applyFill="1" applyBorder="1">
      <alignment vertical="center"/>
    </xf>
    <xf numFmtId="49" fontId="11" fillId="3" borderId="1" xfId="2" applyNumberFormat="1" applyFont="1" applyFill="1" applyBorder="1" applyAlignment="1">
      <alignment horizontal="center" vertical="center" wrapText="1"/>
    </xf>
    <xf numFmtId="49" fontId="11" fillId="3" borderId="1" xfId="2" applyNumberFormat="1" applyFont="1" applyFill="1" applyBorder="1" applyAlignment="1">
      <alignment horizontal="centerContinuous" vertical="center" wrapText="1"/>
    </xf>
    <xf numFmtId="0" fontId="13" fillId="0" borderId="0" xfId="0" applyFont="1">
      <alignment vertical="center"/>
    </xf>
    <xf numFmtId="0" fontId="9" fillId="0" borderId="1" xfId="2" applyFont="1" applyFill="1" applyBorder="1" applyAlignment="1">
      <alignment horizontal="center" vertical="center"/>
    </xf>
    <xf numFmtId="49" fontId="9" fillId="0" borderId="1" xfId="2" applyNumberFormat="1" applyFont="1" applyFill="1" applyBorder="1" applyAlignment="1">
      <alignment horizontal="left" vertical="center"/>
    </xf>
    <xf numFmtId="0" fontId="9" fillId="0" borderId="1" xfId="2" quotePrefix="1" applyFont="1" applyFill="1" applyBorder="1" applyAlignment="1">
      <alignment horizontal="center" vertical="center"/>
    </xf>
    <xf numFmtId="49" fontId="9" fillId="0" borderId="1" xfId="2" applyNumberFormat="1" applyFont="1" applyFill="1" applyBorder="1" applyAlignment="1">
      <alignment horizontal="center" vertical="center"/>
    </xf>
    <xf numFmtId="0" fontId="9" fillId="0" borderId="1" xfId="2" applyFont="1" applyFill="1" applyBorder="1" applyAlignment="1">
      <alignment horizontal="left" vertical="center" wrapText="1"/>
    </xf>
    <xf numFmtId="49" fontId="9" fillId="0" borderId="1" xfId="2" quotePrefix="1" applyNumberFormat="1" applyFont="1" applyFill="1" applyBorder="1" applyAlignment="1">
      <alignment horizontal="left" vertical="center" wrapText="1"/>
    </xf>
    <xf numFmtId="49" fontId="9" fillId="0" borderId="1" xfId="2" applyNumberFormat="1" applyFont="1" applyFill="1" applyBorder="1" applyAlignment="1">
      <alignment horizontal="left" vertical="center" wrapText="1"/>
    </xf>
    <xf numFmtId="0" fontId="9" fillId="2" borderId="1" xfId="2" applyFont="1" applyFill="1" applyBorder="1" applyAlignment="1">
      <alignment horizontal="center" vertical="center"/>
    </xf>
    <xf numFmtId="49" fontId="9" fillId="2" borderId="1" xfId="2" applyNumberFormat="1" applyFont="1" applyFill="1" applyBorder="1" applyAlignment="1">
      <alignment horizontal="center" vertical="center"/>
    </xf>
    <xf numFmtId="0" fontId="14" fillId="0" borderId="1" xfId="2" applyFont="1" applyFill="1" applyBorder="1" applyAlignment="1">
      <alignment horizontal="left" vertical="center" wrapText="1"/>
    </xf>
    <xf numFmtId="0" fontId="9" fillId="2" borderId="0" xfId="2" applyFont="1" applyFill="1" applyBorder="1" applyAlignment="1">
      <alignment horizontal="center" vertical="center"/>
    </xf>
    <xf numFmtId="49" fontId="9" fillId="2" borderId="0" xfId="2" applyNumberFormat="1" applyFont="1" applyFill="1" applyBorder="1" applyAlignment="1">
      <alignment horizontal="left" vertical="center"/>
    </xf>
    <xf numFmtId="49" fontId="9" fillId="2" borderId="0" xfId="2" applyNumberFormat="1" applyFont="1" applyFill="1" applyBorder="1" applyAlignment="1">
      <alignment horizontal="center" vertical="center"/>
    </xf>
    <xf numFmtId="0" fontId="9" fillId="2" borderId="0" xfId="2" applyFont="1" applyFill="1" applyBorder="1" applyAlignment="1">
      <alignment horizontal="center" vertical="center" wrapText="1"/>
    </xf>
    <xf numFmtId="49" fontId="9" fillId="2" borderId="0" xfId="2" applyNumberFormat="1" applyFont="1" applyFill="1" applyBorder="1" applyAlignment="1">
      <alignment horizontal="left" vertical="center" wrapText="1"/>
    </xf>
    <xf numFmtId="0" fontId="16" fillId="0" borderId="0" xfId="0" applyFont="1" applyFill="1" applyBorder="1" applyAlignment="1">
      <alignment horizontal="left" vertical="top"/>
    </xf>
    <xf numFmtId="0" fontId="8" fillId="0" borderId="0" xfId="0" applyFont="1" applyFill="1" applyBorder="1" applyAlignment="1">
      <alignment horizontal="left" vertical="center"/>
    </xf>
    <xf numFmtId="0" fontId="17" fillId="0" borderId="0" xfId="0" applyFont="1">
      <alignment vertical="center"/>
    </xf>
    <xf numFmtId="0" fontId="9" fillId="0" borderId="0" xfId="0" applyFont="1" applyFill="1" applyBorder="1" applyAlignment="1">
      <alignment horizontal="left" vertical="top"/>
    </xf>
    <xf numFmtId="0" fontId="9" fillId="0" borderId="0" xfId="0" applyFont="1" applyFill="1" applyBorder="1" applyAlignment="1">
      <alignment horizontal="left" vertical="center"/>
    </xf>
    <xf numFmtId="0" fontId="18" fillId="0" borderId="0" xfId="0" applyFont="1">
      <alignment vertical="center"/>
    </xf>
    <xf numFmtId="0" fontId="19" fillId="0" borderId="0" xfId="0" applyFont="1">
      <alignment vertical="center"/>
    </xf>
    <xf numFmtId="0" fontId="18" fillId="0" borderId="0" xfId="0" applyFont="1" applyAlignment="1">
      <alignment vertical="center" wrapText="1"/>
    </xf>
    <xf numFmtId="0" fontId="14" fillId="0" borderId="0" xfId="0" applyFont="1" applyFill="1">
      <alignment vertical="center"/>
    </xf>
    <xf numFmtId="0" fontId="14" fillId="0" borderId="0" xfId="0" applyFont="1" applyFill="1" applyAlignment="1">
      <alignment horizontal="left" vertical="center"/>
    </xf>
    <xf numFmtId="0" fontId="20" fillId="0" borderId="0" xfId="0" applyFont="1">
      <alignment vertical="center"/>
    </xf>
    <xf numFmtId="49" fontId="18" fillId="3" borderId="1" xfId="0" applyNumberFormat="1" applyFont="1" applyFill="1" applyBorder="1" applyAlignment="1">
      <alignment horizontal="center" vertical="center"/>
    </xf>
    <xf numFmtId="0" fontId="18" fillId="4" borderId="1" xfId="0" applyFont="1" applyFill="1" applyBorder="1" applyAlignment="1">
      <alignment horizontal="left" vertical="center"/>
    </xf>
    <xf numFmtId="0" fontId="18" fillId="0" borderId="0" xfId="0" quotePrefix="1" applyFont="1" applyFill="1" applyBorder="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lignment vertical="center"/>
    </xf>
    <xf numFmtId="0" fontId="0" fillId="0" borderId="0" xfId="0" applyAlignment="1">
      <alignment vertical="center" wrapText="1"/>
    </xf>
    <xf numFmtId="176" fontId="9" fillId="2" borderId="1" xfId="2" applyNumberFormat="1" applyFont="1" applyFill="1" applyBorder="1" applyAlignment="1">
      <alignment horizontal="center" vertical="center"/>
    </xf>
    <xf numFmtId="177" fontId="9" fillId="2" borderId="1" xfId="2" applyNumberFormat="1" applyFont="1" applyFill="1" applyBorder="1" applyAlignment="1">
      <alignment horizontal="right" vertical="center"/>
    </xf>
    <xf numFmtId="177" fontId="9" fillId="2" borderId="1" xfId="2" applyNumberFormat="1" applyFont="1" applyFill="1" applyBorder="1" applyAlignment="1">
      <alignment horizontal="center" vertical="center"/>
    </xf>
    <xf numFmtId="178" fontId="9" fillId="2" borderId="1" xfId="3" applyNumberFormat="1" applyFont="1" applyFill="1" applyBorder="1" applyAlignment="1">
      <alignment horizontal="center" vertical="center"/>
    </xf>
    <xf numFmtId="179" fontId="9" fillId="2" borderId="1" xfId="2" quotePrefix="1" applyNumberFormat="1" applyFont="1" applyFill="1" applyBorder="1" applyAlignment="1">
      <alignment horizontal="center" vertical="center"/>
    </xf>
    <xf numFmtId="180" fontId="9" fillId="2" borderId="1" xfId="2" applyNumberFormat="1" applyFont="1" applyFill="1" applyBorder="1" applyAlignment="1">
      <alignment horizontal="center" vertical="center"/>
    </xf>
    <xf numFmtId="0" fontId="24" fillId="0" borderId="0" xfId="4" applyFont="1" applyAlignment="1">
      <alignment horizontal="center" vertical="center"/>
    </xf>
    <xf numFmtId="0" fontId="24" fillId="0" borderId="0" xfId="4" applyFont="1">
      <alignment vertical="center"/>
    </xf>
    <xf numFmtId="0" fontId="24" fillId="0" borderId="0" xfId="4" quotePrefix="1" applyFont="1">
      <alignment vertical="center"/>
    </xf>
    <xf numFmtId="176" fontId="24" fillId="0" borderId="0" xfId="4" quotePrefix="1" applyNumberFormat="1" applyFont="1">
      <alignment vertical="center"/>
    </xf>
    <xf numFmtId="177" fontId="24" fillId="0" borderId="0" xfId="4" quotePrefix="1" applyNumberFormat="1" applyFont="1" applyAlignment="1">
      <alignment horizontal="right" vertical="center"/>
    </xf>
    <xf numFmtId="177" fontId="24" fillId="0" borderId="0" xfId="4" quotePrefix="1" applyNumberFormat="1" applyFont="1">
      <alignment vertical="center"/>
    </xf>
    <xf numFmtId="41" fontId="24" fillId="0" borderId="0" xfId="3" applyFont="1">
      <alignment vertical="center"/>
    </xf>
    <xf numFmtId="0" fontId="25" fillId="0" borderId="0" xfId="4" applyFont="1">
      <alignment vertical="center"/>
    </xf>
    <xf numFmtId="177" fontId="24" fillId="0" borderId="0" xfId="4" applyNumberFormat="1" applyFont="1">
      <alignment vertical="center"/>
    </xf>
    <xf numFmtId="178" fontId="24" fillId="0" borderId="0" xfId="3" applyNumberFormat="1" applyFont="1">
      <alignment vertical="center"/>
    </xf>
    <xf numFmtId="179" fontId="24" fillId="0" borderId="0" xfId="3" applyNumberFormat="1" applyFont="1">
      <alignment vertical="center"/>
    </xf>
    <xf numFmtId="180" fontId="24" fillId="0" borderId="0" xfId="4" applyNumberFormat="1" applyFont="1">
      <alignment vertical="center"/>
    </xf>
    <xf numFmtId="176" fontId="24" fillId="0" borderId="0" xfId="4" applyNumberFormat="1" applyFont="1">
      <alignment vertical="center"/>
    </xf>
    <xf numFmtId="177" fontId="24" fillId="0" borderId="0" xfId="4" applyNumberFormat="1" applyFont="1" applyAlignment="1">
      <alignment horizontal="right" vertical="center"/>
    </xf>
    <xf numFmtId="179" fontId="24" fillId="0" borderId="0" xfId="4" applyNumberFormat="1" applyFont="1">
      <alignment vertical="center"/>
    </xf>
    <xf numFmtId="0" fontId="9" fillId="0" borderId="11" xfId="2" applyFont="1" applyFill="1" applyBorder="1" applyAlignment="1">
      <alignment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0" xfId="0" applyFill="1">
      <alignment vertical="center"/>
    </xf>
    <xf numFmtId="49" fontId="9" fillId="0" borderId="11" xfId="2" quotePrefix="1" applyNumberFormat="1" applyFont="1" applyFill="1" applyBorder="1" applyAlignment="1">
      <alignment horizontal="left" vertical="center" wrapText="1"/>
    </xf>
    <xf numFmtId="49" fontId="11" fillId="3" borderId="11" xfId="2" applyNumberFormat="1" applyFont="1" applyFill="1" applyBorder="1" applyAlignment="1">
      <alignment horizontal="center" vertical="center"/>
    </xf>
    <xf numFmtId="49" fontId="9" fillId="0" borderId="11" xfId="2" applyNumberFormat="1" applyFont="1" applyFill="1" applyBorder="1" applyAlignment="1">
      <alignment horizontal="left" vertical="center" wrapText="1"/>
    </xf>
    <xf numFmtId="0" fontId="24" fillId="0" borderId="0" xfId="90" applyFont="1">
      <alignment vertical="center"/>
    </xf>
    <xf numFmtId="49" fontId="9" fillId="0" borderId="1" xfId="2" applyNumberFormat="1" applyFont="1" applyFill="1" applyBorder="1" applyAlignment="1">
      <alignment horizontal="center" vertical="center"/>
    </xf>
    <xf numFmtId="177" fontId="24" fillId="0" borderId="0" xfId="90" applyNumberFormat="1" applyFont="1">
      <alignment vertical="center"/>
    </xf>
    <xf numFmtId="41" fontId="24" fillId="0" borderId="0" xfId="92" applyFont="1">
      <alignment vertical="center"/>
    </xf>
    <xf numFmtId="179" fontId="24" fillId="0" borderId="0" xfId="92" applyNumberFormat="1" applyFont="1">
      <alignment vertical="center"/>
    </xf>
    <xf numFmtId="177" fontId="24" fillId="0" borderId="0" xfId="90" quotePrefix="1" applyNumberFormat="1" applyFont="1">
      <alignment vertical="center"/>
    </xf>
    <xf numFmtId="178" fontId="24" fillId="0" borderId="0" xfId="92" applyNumberFormat="1" applyFont="1">
      <alignment vertical="center"/>
    </xf>
    <xf numFmtId="0" fontId="24" fillId="0" borderId="0" xfId="90" quotePrefix="1" applyFont="1">
      <alignment vertical="center"/>
    </xf>
    <xf numFmtId="176" fontId="24" fillId="0" borderId="0" xfId="90" quotePrefix="1" applyNumberFormat="1" applyFont="1">
      <alignment vertical="center"/>
    </xf>
    <xf numFmtId="180" fontId="24" fillId="0" borderId="0" xfId="90" applyNumberFormat="1" applyFont="1">
      <alignment vertical="center"/>
    </xf>
    <xf numFmtId="177" fontId="24" fillId="0" borderId="0" xfId="90" quotePrefix="1" applyNumberFormat="1" applyFont="1" applyAlignment="1">
      <alignment horizontal="right" vertical="center"/>
    </xf>
    <xf numFmtId="0" fontId="26" fillId="0" borderId="0" xfId="90" applyFont="1">
      <alignment vertical="center"/>
    </xf>
    <xf numFmtId="0" fontId="25" fillId="0" borderId="0" xfId="90" applyFont="1">
      <alignment vertical="center"/>
    </xf>
    <xf numFmtId="0" fontId="0" fillId="0" borderId="1" xfId="0" applyBorder="1" applyAlignment="1">
      <alignment horizontal="left" vertical="center" indent="1"/>
    </xf>
    <xf numFmtId="0" fontId="0" fillId="0" borderId="1" xfId="0" applyFill="1" applyBorder="1" applyAlignment="1">
      <alignment horizontal="left" vertical="center" indent="1"/>
    </xf>
    <xf numFmtId="0" fontId="0" fillId="37" borderId="1" xfId="0" applyFill="1" applyBorder="1" applyAlignment="1">
      <alignment horizontal="center" vertical="center"/>
    </xf>
    <xf numFmtId="0" fontId="0" fillId="37" borderId="1" xfId="0" applyFill="1" applyBorder="1" applyAlignment="1">
      <alignment horizontal="left" vertical="center" indent="1"/>
    </xf>
    <xf numFmtId="0" fontId="0" fillId="37" borderId="1" xfId="0" quotePrefix="1" applyFill="1" applyBorder="1" applyAlignment="1">
      <alignment horizontal="center" vertical="center"/>
    </xf>
    <xf numFmtId="0" fontId="0" fillId="37" borderId="1" xfId="0" quotePrefix="1" applyFill="1" applyBorder="1" applyAlignment="1">
      <alignment horizontal="left" vertical="center" indent="1"/>
    </xf>
    <xf numFmtId="0" fontId="0" fillId="37" borderId="1" xfId="0" applyFill="1" applyBorder="1" applyAlignment="1">
      <alignment horizontal="center" vertical="center" wrapText="1"/>
    </xf>
    <xf numFmtId="0" fontId="0" fillId="37" borderId="1" xfId="0" applyFill="1" applyBorder="1" applyAlignment="1">
      <alignment horizontal="left" vertical="center" wrapText="1" indent="1"/>
    </xf>
    <xf numFmtId="49" fontId="11" fillId="37" borderId="1" xfId="2" applyNumberFormat="1" applyFont="1" applyFill="1" applyBorder="1" applyAlignment="1">
      <alignment horizontal="centerContinuous" vertical="center"/>
    </xf>
    <xf numFmtId="49" fontId="11" fillId="37" borderId="1" xfId="2" applyNumberFormat="1" applyFont="1" applyFill="1" applyBorder="1" applyAlignment="1">
      <alignment horizontal="center" vertical="center"/>
    </xf>
    <xf numFmtId="0" fontId="9" fillId="37" borderId="1" xfId="2" applyFont="1" applyFill="1" applyBorder="1" applyAlignment="1">
      <alignment horizontal="center" vertical="center"/>
    </xf>
    <xf numFmtId="49" fontId="9" fillId="37" borderId="1" xfId="2" applyNumberFormat="1" applyFont="1" applyFill="1" applyBorder="1" applyAlignment="1">
      <alignment horizontal="left" vertical="center"/>
    </xf>
    <xf numFmtId="0" fontId="9" fillId="37" borderId="1" xfId="2" quotePrefix="1" applyFont="1" applyFill="1" applyBorder="1" applyAlignment="1">
      <alignment horizontal="center" vertical="center"/>
    </xf>
    <xf numFmtId="0" fontId="9" fillId="37" borderId="1" xfId="2" applyFont="1" applyFill="1" applyBorder="1" applyAlignment="1">
      <alignment horizontal="left" vertical="center"/>
    </xf>
    <xf numFmtId="49" fontId="9" fillId="37" borderId="1" xfId="2" quotePrefix="1" applyNumberFormat="1" applyFont="1" applyFill="1" applyBorder="1" applyAlignment="1">
      <alignment horizontal="left" vertical="center"/>
    </xf>
    <xf numFmtId="0" fontId="9" fillId="37" borderId="1" xfId="2" applyFont="1" applyFill="1" applyBorder="1" applyAlignment="1">
      <alignment vertical="center"/>
    </xf>
    <xf numFmtId="0" fontId="8" fillId="2" borderId="14" xfId="0" applyFont="1" applyFill="1" applyBorder="1" applyAlignment="1">
      <alignment vertical="center" wrapText="1"/>
    </xf>
    <xf numFmtId="0" fontId="8" fillId="2" borderId="15" xfId="0" applyFont="1" applyFill="1" applyBorder="1" applyAlignment="1">
      <alignment vertical="center" wrapText="1"/>
    </xf>
    <xf numFmtId="182" fontId="8" fillId="2" borderId="11" xfId="0" applyNumberFormat="1" applyFont="1" applyFill="1" applyBorder="1" applyAlignment="1">
      <alignment vertical="center"/>
    </xf>
    <xf numFmtId="0" fontId="49" fillId="37" borderId="1" xfId="0" applyFont="1" applyFill="1" applyBorder="1" applyAlignment="1">
      <alignment horizontal="center" vertical="center" wrapText="1"/>
    </xf>
    <xf numFmtId="0" fontId="49" fillId="37" borderId="1" xfId="0" applyFont="1" applyFill="1" applyBorder="1" applyAlignment="1">
      <alignment horizontal="center" vertical="center"/>
    </xf>
    <xf numFmtId="0" fontId="8" fillId="0" borderId="11" xfId="1" applyFont="1" applyBorder="1" applyAlignment="1">
      <alignment vertical="center"/>
    </xf>
    <xf numFmtId="0" fontId="0" fillId="0" borderId="0" xfId="0" applyBorder="1" applyAlignment="1">
      <alignment horizontal="left" vertical="center" indent="1"/>
    </xf>
    <xf numFmtId="0" fontId="17" fillId="0" borderId="0" xfId="0" applyFont="1" applyBorder="1" applyAlignment="1">
      <alignment horizontal="left" vertical="center" indent="1"/>
    </xf>
    <xf numFmtId="0" fontId="19" fillId="0" borderId="0" xfId="0" applyFont="1" applyBorder="1" applyAlignment="1">
      <alignment horizontal="left" vertical="center" indent="1"/>
    </xf>
    <xf numFmtId="0" fontId="20" fillId="0" borderId="0" xfId="0" applyFont="1" applyBorder="1" applyAlignment="1">
      <alignment horizontal="left" vertical="center" indent="1"/>
    </xf>
    <xf numFmtId="0" fontId="9" fillId="2" borderId="16" xfId="0" applyFont="1" applyFill="1" applyBorder="1">
      <alignment vertical="center"/>
    </xf>
    <xf numFmtId="0" fontId="9" fillId="2" borderId="14" xfId="0" applyFont="1" applyFill="1" applyBorder="1">
      <alignment vertical="center"/>
    </xf>
    <xf numFmtId="0" fontId="18" fillId="4" borderId="11" xfId="0" applyFont="1" applyFill="1" applyBorder="1" applyAlignment="1">
      <alignment horizontal="left" vertical="center"/>
    </xf>
    <xf numFmtId="0" fontId="0" fillId="0" borderId="0" xfId="0" applyBorder="1" applyAlignment="1">
      <alignment horizontal="center" vertical="center"/>
    </xf>
    <xf numFmtId="0" fontId="17" fillId="0" borderId="0" xfId="0" applyFont="1" applyBorder="1" applyAlignment="1">
      <alignment horizontal="center" vertical="center"/>
    </xf>
    <xf numFmtId="0" fontId="19" fillId="0" borderId="0" xfId="0" applyFont="1" applyBorder="1" applyAlignment="1">
      <alignment horizontal="center" vertical="center"/>
    </xf>
    <xf numFmtId="0" fontId="20" fillId="0" borderId="0" xfId="0" applyFont="1" applyBorder="1" applyAlignment="1">
      <alignment horizontal="center" vertical="center"/>
    </xf>
    <xf numFmtId="0" fontId="14" fillId="0" borderId="0" xfId="0" applyFont="1" applyFill="1" applyBorder="1">
      <alignment vertical="center"/>
    </xf>
    <xf numFmtId="0" fontId="18" fillId="0" borderId="0" xfId="0" applyFont="1" applyBorder="1" applyAlignment="1">
      <alignment vertical="center" wrapText="1"/>
    </xf>
    <xf numFmtId="0" fontId="8" fillId="0" borderId="0" xfId="0" applyFont="1">
      <alignment vertical="center"/>
    </xf>
    <xf numFmtId="0" fontId="9" fillId="0" borderId="0" xfId="0" applyFont="1">
      <alignment vertical="center"/>
    </xf>
    <xf numFmtId="0" fontId="50" fillId="0" borderId="0" xfId="0" applyFont="1">
      <alignment vertical="center"/>
    </xf>
    <xf numFmtId="0" fontId="20" fillId="6" borderId="1" xfId="26" applyFont="1" applyFill="1" applyBorder="1" applyAlignment="1">
      <alignment horizontal="left" vertical="center"/>
    </xf>
    <xf numFmtId="0" fontId="9" fillId="2" borderId="11" xfId="0" applyFont="1" applyFill="1" applyBorder="1" applyAlignment="1">
      <alignment horizontal="left" vertical="center" indent="1"/>
    </xf>
    <xf numFmtId="49" fontId="20" fillId="0" borderId="1" xfId="26" applyNumberFormat="1" applyFont="1" applyFill="1" applyBorder="1" applyAlignment="1">
      <alignment horizontal="center" vertical="center"/>
    </xf>
    <xf numFmtId="0" fontId="20" fillId="0" borderId="0" xfId="0" applyFont="1" applyFill="1" applyBorder="1" applyAlignment="1">
      <alignment horizontal="left" vertical="center" indent="1"/>
    </xf>
    <xf numFmtId="49" fontId="18" fillId="3" borderId="17" xfId="0" applyNumberFormat="1" applyFont="1" applyFill="1" applyBorder="1" applyAlignment="1">
      <alignment horizontal="center" vertical="center"/>
    </xf>
    <xf numFmtId="0" fontId="18" fillId="4" borderId="17" xfId="0" applyFont="1" applyFill="1" applyBorder="1" applyAlignment="1">
      <alignment horizontal="left" vertical="center"/>
    </xf>
    <xf numFmtId="0" fontId="20" fillId="0" borderId="0" xfId="0" applyFont="1" applyBorder="1">
      <alignment vertical="center"/>
    </xf>
    <xf numFmtId="0" fontId="20" fillId="0" borderId="0" xfId="0" applyFont="1" applyBorder="1" applyAlignment="1">
      <alignment horizontal="left" vertical="center"/>
    </xf>
    <xf numFmtId="0" fontId="20" fillId="0" borderId="0" xfId="0" applyFont="1" applyBorder="1" applyAlignment="1">
      <alignment vertical="center" wrapText="1"/>
    </xf>
    <xf numFmtId="0" fontId="21" fillId="0" borderId="0" xfId="0" applyFont="1" applyBorder="1">
      <alignment vertical="center"/>
    </xf>
    <xf numFmtId="0" fontId="0" fillId="0" borderId="0" xfId="0" applyBorder="1">
      <alignment vertical="center"/>
    </xf>
    <xf numFmtId="0" fontId="0" fillId="0" borderId="0" xfId="0" applyBorder="1" applyAlignment="1">
      <alignment vertical="center" wrapText="1"/>
    </xf>
    <xf numFmtId="0" fontId="50" fillId="0" borderId="0" xfId="0" applyFont="1" applyBorder="1">
      <alignment vertical="center"/>
    </xf>
    <xf numFmtId="0" fontId="26" fillId="0" borderId="0" xfId="90" applyFont="1" applyFill="1">
      <alignment vertical="center"/>
    </xf>
    <xf numFmtId="177" fontId="25" fillId="0" borderId="0" xfId="90" applyNumberFormat="1" applyFont="1" applyFill="1">
      <alignment vertical="center"/>
    </xf>
    <xf numFmtId="14" fontId="25" fillId="0" borderId="0" xfId="90" applyNumberFormat="1" applyFont="1" applyFill="1">
      <alignment vertical="center"/>
    </xf>
    <xf numFmtId="0" fontId="25" fillId="0" borderId="0" xfId="90" applyFont="1" applyFill="1">
      <alignment vertical="center"/>
    </xf>
    <xf numFmtId="3" fontId="25" fillId="0" borderId="0" xfId="90" applyNumberFormat="1" applyFont="1" applyFill="1">
      <alignment vertical="center"/>
    </xf>
    <xf numFmtId="177" fontId="25" fillId="38" borderId="0" xfId="90" applyNumberFormat="1" applyFont="1" applyFill="1">
      <alignment vertical="center"/>
    </xf>
    <xf numFmtId="0" fontId="26" fillId="38" borderId="0" xfId="90" applyFont="1" applyFill="1">
      <alignment vertical="center"/>
    </xf>
    <xf numFmtId="0" fontId="25" fillId="38" borderId="0" xfId="90" applyFont="1" applyFill="1">
      <alignment vertical="center"/>
    </xf>
    <xf numFmtId="14" fontId="25" fillId="38" borderId="0" xfId="90" applyNumberFormat="1" applyFont="1" applyFill="1">
      <alignment vertical="center"/>
    </xf>
    <xf numFmtId="4" fontId="25" fillId="38" borderId="0" xfId="90" applyNumberFormat="1" applyFont="1" applyFill="1">
      <alignment vertical="center"/>
    </xf>
    <xf numFmtId="177" fontId="24" fillId="38" borderId="0" xfId="90" applyNumberFormat="1" applyFont="1" applyFill="1">
      <alignment vertical="center"/>
    </xf>
    <xf numFmtId="0" fontId="24" fillId="38" borderId="0" xfId="90" applyFont="1" applyFill="1">
      <alignment vertical="center"/>
    </xf>
    <xf numFmtId="0" fontId="24" fillId="38" borderId="0" xfId="90" quotePrefix="1" applyFont="1" applyFill="1">
      <alignment vertical="center"/>
    </xf>
    <xf numFmtId="176" fontId="24" fillId="38" borderId="0" xfId="90" quotePrefix="1" applyNumberFormat="1" applyFont="1" applyFill="1">
      <alignment vertical="center"/>
    </xf>
    <xf numFmtId="177" fontId="24" fillId="38" borderId="0" xfId="90" quotePrefix="1" applyNumberFormat="1" applyFont="1" applyFill="1" applyAlignment="1">
      <alignment horizontal="right" vertical="center"/>
    </xf>
    <xf numFmtId="177" fontId="24" fillId="38" borderId="0" xfId="90" quotePrefix="1" applyNumberFormat="1" applyFont="1" applyFill="1">
      <alignment vertical="center"/>
    </xf>
    <xf numFmtId="41" fontId="24" fillId="38" borderId="0" xfId="92" applyFont="1" applyFill="1">
      <alignment vertical="center"/>
    </xf>
    <xf numFmtId="178" fontId="24" fillId="38" borderId="0" xfId="92" applyNumberFormat="1" applyFont="1" applyFill="1">
      <alignment vertical="center"/>
    </xf>
    <xf numFmtId="179" fontId="24" fillId="38" borderId="0" xfId="92" applyNumberFormat="1" applyFont="1" applyFill="1">
      <alignment vertical="center"/>
    </xf>
    <xf numFmtId="180" fontId="24" fillId="38" borderId="0" xfId="90" applyNumberFormat="1" applyFont="1" applyFill="1">
      <alignment vertical="center"/>
    </xf>
    <xf numFmtId="0" fontId="24" fillId="38" borderId="0" xfId="4" applyFont="1" applyFill="1">
      <alignment vertical="center"/>
    </xf>
    <xf numFmtId="0" fontId="26" fillId="38" borderId="0" xfId="90" quotePrefix="1" applyFont="1" applyFill="1">
      <alignment vertical="center"/>
    </xf>
    <xf numFmtId="0" fontId="26" fillId="38" borderId="0" xfId="4" applyFont="1" applyFill="1">
      <alignment vertical="center"/>
    </xf>
    <xf numFmtId="41" fontId="25" fillId="38" borderId="0" xfId="122" applyFont="1" applyFill="1">
      <alignment vertical="center"/>
    </xf>
    <xf numFmtId="14" fontId="25" fillId="0" borderId="0" xfId="90" applyNumberFormat="1" applyFont="1">
      <alignment vertical="center"/>
    </xf>
    <xf numFmtId="3" fontId="25" fillId="0" borderId="0" xfId="90" applyNumberFormat="1" applyFont="1">
      <alignment vertical="center"/>
    </xf>
    <xf numFmtId="4" fontId="25" fillId="0" borderId="0" xfId="90" applyNumberFormat="1" applyFont="1">
      <alignment vertical="center"/>
    </xf>
    <xf numFmtId="21" fontId="25" fillId="0" borderId="0" xfId="90" applyNumberFormat="1" applyFont="1">
      <alignment vertical="center"/>
    </xf>
    <xf numFmtId="181" fontId="25" fillId="0" borderId="0" xfId="90" applyNumberFormat="1" applyFont="1">
      <alignment vertical="center"/>
    </xf>
    <xf numFmtId="176" fontId="25" fillId="38" borderId="0" xfId="90" applyNumberFormat="1" applyFont="1" applyFill="1">
      <alignment vertical="center"/>
    </xf>
    <xf numFmtId="0" fontId="24" fillId="39" borderId="0" xfId="90" applyFont="1" applyFill="1">
      <alignment vertical="center"/>
    </xf>
    <xf numFmtId="0" fontId="24" fillId="39" borderId="0" xfId="90" quotePrefix="1" applyFont="1" applyFill="1">
      <alignment vertical="center"/>
    </xf>
    <xf numFmtId="176" fontId="24" fillId="39" borderId="0" xfId="90" quotePrefix="1" applyNumberFormat="1" applyFont="1" applyFill="1">
      <alignment vertical="center"/>
    </xf>
    <xf numFmtId="177" fontId="24" fillId="39" borderId="0" xfId="90" quotePrefix="1" applyNumberFormat="1" applyFont="1" applyFill="1" applyAlignment="1">
      <alignment horizontal="right" vertical="center"/>
    </xf>
    <xf numFmtId="177" fontId="24" fillId="39" borderId="0" xfId="90" quotePrefix="1" applyNumberFormat="1" applyFont="1" applyFill="1">
      <alignment vertical="center"/>
    </xf>
    <xf numFmtId="41" fontId="24" fillId="39" borderId="0" xfId="92" applyFont="1" applyFill="1">
      <alignment vertical="center"/>
    </xf>
    <xf numFmtId="0" fontId="25" fillId="39" borderId="0" xfId="90" applyFont="1" applyFill="1">
      <alignment vertical="center"/>
    </xf>
    <xf numFmtId="177" fontId="24" fillId="39" borderId="0" xfId="90" applyNumberFormat="1" applyFont="1" applyFill="1">
      <alignment vertical="center"/>
    </xf>
    <xf numFmtId="178" fontId="24" fillId="39" borderId="0" xfId="92" applyNumberFormat="1" applyFont="1" applyFill="1">
      <alignment vertical="center"/>
    </xf>
    <xf numFmtId="179" fontId="24" fillId="39" borderId="0" xfId="92" applyNumberFormat="1" applyFont="1" applyFill="1">
      <alignment vertical="center"/>
    </xf>
    <xf numFmtId="180" fontId="24" fillId="39" borderId="0" xfId="90" applyNumberFormat="1" applyFont="1" applyFill="1">
      <alignment vertical="center"/>
    </xf>
    <xf numFmtId="0" fontId="24" fillId="39" borderId="0" xfId="4" applyFont="1" applyFill="1">
      <alignment vertical="center"/>
    </xf>
    <xf numFmtId="177" fontId="25" fillId="39" borderId="0" xfId="90" applyNumberFormat="1" applyFont="1" applyFill="1">
      <alignment vertical="center"/>
    </xf>
    <xf numFmtId="0" fontId="26" fillId="39" borderId="0" xfId="90" applyFont="1" applyFill="1">
      <alignment vertical="center"/>
    </xf>
    <xf numFmtId="3" fontId="25" fillId="39" borderId="0" xfId="90" applyNumberFormat="1" applyFont="1" applyFill="1">
      <alignment vertical="center"/>
    </xf>
    <xf numFmtId="14" fontId="25" fillId="39" borderId="0" xfId="90" applyNumberFormat="1" applyFont="1" applyFill="1">
      <alignment vertical="center"/>
    </xf>
    <xf numFmtId="4" fontId="25" fillId="39" borderId="0" xfId="90" applyNumberFormat="1" applyFont="1" applyFill="1">
      <alignment vertical="center"/>
    </xf>
    <xf numFmtId="49" fontId="9" fillId="0" borderId="12" xfId="2" quotePrefix="1" applyNumberFormat="1" applyFont="1" applyFill="1" applyBorder="1" applyAlignment="1">
      <alignment horizontal="left" vertical="center" wrapText="1"/>
    </xf>
    <xf numFmtId="49" fontId="9" fillId="0" borderId="13" xfId="2" quotePrefix="1" applyNumberFormat="1" applyFont="1" applyFill="1" applyBorder="1" applyAlignment="1">
      <alignment horizontal="left" vertical="center" wrapText="1"/>
    </xf>
    <xf numFmtId="0" fontId="5" fillId="38" borderId="1" xfId="0" applyFont="1" applyFill="1" applyBorder="1" applyAlignment="1">
      <alignment horizontal="center" vertical="center"/>
    </xf>
    <xf numFmtId="0" fontId="16" fillId="40" borderId="12" xfId="0" applyFont="1" applyFill="1" applyBorder="1" applyAlignment="1">
      <alignment horizontal="center" vertical="center" wrapText="1"/>
    </xf>
    <xf numFmtId="0" fontId="16" fillId="40" borderId="18" xfId="0" applyFont="1" applyFill="1" applyBorder="1" applyAlignment="1">
      <alignment horizontal="center" vertical="center"/>
    </xf>
    <xf numFmtId="0" fontId="16" fillId="40" borderId="19" xfId="0" applyFont="1" applyFill="1" applyBorder="1" applyAlignment="1">
      <alignment horizontal="center" vertical="center"/>
    </xf>
    <xf numFmtId="0" fontId="16" fillId="40" borderId="20" xfId="0" applyFont="1" applyFill="1" applyBorder="1" applyAlignment="1">
      <alignment horizontal="center" vertical="center"/>
    </xf>
    <xf numFmtId="0" fontId="16" fillId="40" borderId="0" xfId="0" applyFont="1" applyFill="1" applyBorder="1" applyAlignment="1">
      <alignment horizontal="center" vertical="center"/>
    </xf>
    <xf numFmtId="0" fontId="16" fillId="40" borderId="21" xfId="0" applyFont="1" applyFill="1" applyBorder="1" applyAlignment="1">
      <alignment horizontal="center" vertical="center"/>
    </xf>
    <xf numFmtId="0" fontId="16" fillId="40" borderId="13" xfId="0" applyFont="1" applyFill="1" applyBorder="1" applyAlignment="1">
      <alignment horizontal="center" vertical="center"/>
    </xf>
    <xf numFmtId="0" fontId="16" fillId="40" borderId="16" xfId="0" applyFont="1" applyFill="1" applyBorder="1" applyAlignment="1">
      <alignment horizontal="center" vertical="center"/>
    </xf>
    <xf numFmtId="0" fontId="16" fillId="40" borderId="22" xfId="0" applyFont="1" applyFill="1" applyBorder="1" applyAlignment="1">
      <alignment horizontal="center" vertical="center"/>
    </xf>
  </cellXfs>
  <cellStyles count="172">
    <cellStyle name="20% - 강조색1" xfId="67" builtinId="30" customBuiltin="1"/>
    <cellStyle name="20% - 강조색1 2" xfId="129"/>
    <cellStyle name="20% - 강조색2" xfId="71" builtinId="34" customBuiltin="1"/>
    <cellStyle name="20% - 강조색2 2" xfId="131"/>
    <cellStyle name="20% - 강조색3" xfId="75" builtinId="38" customBuiltin="1"/>
    <cellStyle name="20% - 강조색3 2" xfId="133"/>
    <cellStyle name="20% - 강조색4" xfId="79" builtinId="42" customBuiltin="1"/>
    <cellStyle name="20% - 강조색4 2" xfId="135"/>
    <cellStyle name="20% - 강조색5" xfId="83" builtinId="46" customBuiltin="1"/>
    <cellStyle name="20% - 강조색5 2" xfId="137"/>
    <cellStyle name="20% - 강조색6" xfId="87" builtinId="50" customBuiltin="1"/>
    <cellStyle name="20% - 강조색6 2" xfId="139"/>
    <cellStyle name="40% - 강조색1" xfId="68" builtinId="31" customBuiltin="1"/>
    <cellStyle name="40% - 강조색1 2" xfId="130"/>
    <cellStyle name="40% - 강조색2" xfId="72" builtinId="35" customBuiltin="1"/>
    <cellStyle name="40% - 강조색2 2" xfId="132"/>
    <cellStyle name="40% - 강조색3" xfId="76" builtinId="39" customBuiltin="1"/>
    <cellStyle name="40% - 강조색3 2" xfId="134"/>
    <cellStyle name="40% - 강조색4" xfId="80" builtinId="43" customBuiltin="1"/>
    <cellStyle name="40% - 강조색4 2" xfId="136"/>
    <cellStyle name="40% - 강조색5" xfId="84" builtinId="47" customBuiltin="1"/>
    <cellStyle name="40% - 강조색5 2" xfId="138"/>
    <cellStyle name="40% - 강조색6" xfId="88" builtinId="51" customBuiltin="1"/>
    <cellStyle name="40% - 강조색6 2" xfId="140"/>
    <cellStyle name="60% - 강조색1" xfId="69" builtinId="32" customBuiltin="1"/>
    <cellStyle name="60% - 강조색2" xfId="73" builtinId="36" customBuiltin="1"/>
    <cellStyle name="60% - 강조색3" xfId="77" builtinId="40" customBuiltin="1"/>
    <cellStyle name="60% - 강조색4" xfId="81" builtinId="44" customBuiltin="1"/>
    <cellStyle name="60% - 강조색5" xfId="85" builtinId="48" customBuiltin="1"/>
    <cellStyle name="60% - 강조색6" xfId="89" builtinId="52" customBuiltin="1"/>
    <cellStyle name="Normal_alex.." xfId="5"/>
    <cellStyle name="강조색1" xfId="66" builtinId="29" customBuiltin="1"/>
    <cellStyle name="강조색2" xfId="70" builtinId="33" customBuiltin="1"/>
    <cellStyle name="강조색3" xfId="74" builtinId="37" customBuiltin="1"/>
    <cellStyle name="강조색4" xfId="78" builtinId="41" customBuiltin="1"/>
    <cellStyle name="강조색5" xfId="82" builtinId="45" customBuiltin="1"/>
    <cellStyle name="강조색6" xfId="86" builtinId="49" customBuiltin="1"/>
    <cellStyle name="경고문" xfId="63" builtinId="11" customBuiltin="1"/>
    <cellStyle name="계산" xfId="60" builtinId="22" customBuiltin="1"/>
    <cellStyle name="나쁨" xfId="56" builtinId="27" customBuiltin="1"/>
    <cellStyle name="메모 2" xfId="6"/>
    <cellStyle name="메모 2 2" xfId="109"/>
    <cellStyle name="메모 2 3" xfId="155"/>
    <cellStyle name="메모 3" xfId="93"/>
    <cellStyle name="메모 4" xfId="128"/>
    <cellStyle name="백분율 2" xfId="7"/>
    <cellStyle name="보통" xfId="57" builtinId="28" customBuiltin="1"/>
    <cellStyle name="설명 텍스트" xfId="64" builtinId="53" customBuiltin="1"/>
    <cellStyle name="셀 확인" xfId="62" builtinId="23" customBuiltin="1"/>
    <cellStyle name="쉼표 [0] 2" xfId="3"/>
    <cellStyle name="쉼표 [0] 2 2" xfId="8"/>
    <cellStyle name="쉼표 [0] 2 3" xfId="95"/>
    <cellStyle name="쉼표 [0] 3" xfId="9"/>
    <cellStyle name="쉼표 [0] 3 2" xfId="10"/>
    <cellStyle name="쉼표 [0] 3 2 2" xfId="11"/>
    <cellStyle name="쉼표 [0] 3 2 2 2" xfId="12"/>
    <cellStyle name="쉼표 [0] 3 2 2 2 2" xfId="122"/>
    <cellStyle name="쉼표 [0] 3 2 2 2 3" xfId="168"/>
    <cellStyle name="쉼표 [0] 3 2 2 3" xfId="115"/>
    <cellStyle name="쉼표 [0] 3 2 2 4" xfId="161"/>
    <cellStyle name="쉼표 [0] 3 2 3" xfId="100"/>
    <cellStyle name="쉼표 [0] 3 2 4" xfId="146"/>
    <cellStyle name="쉼표 [0] 3 3" xfId="13"/>
    <cellStyle name="쉼표 [0] 3 3 2" xfId="111"/>
    <cellStyle name="쉼표 [0] 3 3 3" xfId="157"/>
    <cellStyle name="쉼표 [0] 3 4" xfId="94"/>
    <cellStyle name="쉼표 [0] 3 5" xfId="141"/>
    <cellStyle name="쉼표 [0] 4" xfId="14"/>
    <cellStyle name="쉼표 [0] 4 2" xfId="15"/>
    <cellStyle name="쉼표 [0] 4 2 2" xfId="113"/>
    <cellStyle name="쉼표 [0] 4 2 3" xfId="159"/>
    <cellStyle name="쉼표 [0] 4 3" xfId="16"/>
    <cellStyle name="쉼표 [0] 4 3 2" xfId="98"/>
    <cellStyle name="쉼표 [0] 4 3 3" xfId="144"/>
    <cellStyle name="쉼표 [0] 5" xfId="17"/>
    <cellStyle name="쉼표 [0] 5 2" xfId="18"/>
    <cellStyle name="쉼표 [0] 5 2 2" xfId="118"/>
    <cellStyle name="쉼표 [0] 5 2 3" xfId="164"/>
    <cellStyle name="쉼표 [0] 5 3" xfId="103"/>
    <cellStyle name="쉼표 [0] 5 4" xfId="149"/>
    <cellStyle name="쉼표 [0] 6" xfId="19"/>
    <cellStyle name="쉼표 [0] 6 2" xfId="20"/>
    <cellStyle name="쉼표 [0] 6 2 2" xfId="120"/>
    <cellStyle name="쉼표 [0] 6 2 3" xfId="166"/>
    <cellStyle name="쉼표 [0] 6 3" xfId="105"/>
    <cellStyle name="쉼표 [0] 6 4" xfId="151"/>
    <cellStyle name="쉼표 [0] 7" xfId="21"/>
    <cellStyle name="쉼표 [0] 7 2" xfId="108"/>
    <cellStyle name="쉼표 [0] 7 3" xfId="154"/>
    <cellStyle name="쉼표 [0] 8" xfId="92"/>
    <cellStyle name="쉼표 [0] 9" xfId="127"/>
    <cellStyle name="연결된 셀" xfId="61" builtinId="24" customBuiltin="1"/>
    <cellStyle name="요약" xfId="65" builtinId="25" customBuiltin="1"/>
    <cellStyle name="입력" xfId="58" builtinId="20" customBuiltin="1"/>
    <cellStyle name="제목" xfId="50" builtinId="15" customBuiltin="1"/>
    <cellStyle name="제목 1" xfId="51" builtinId="16" customBuiltin="1"/>
    <cellStyle name="제목 2" xfId="52" builtinId="17" customBuiltin="1"/>
    <cellStyle name="제목 3" xfId="53" builtinId="18" customBuiltin="1"/>
    <cellStyle name="제목 4" xfId="54" builtinId="19" customBuiltin="1"/>
    <cellStyle name="좋음" xfId="55" builtinId="26" customBuiltin="1"/>
    <cellStyle name="출력" xfId="59" builtinId="21" customBuiltin="1"/>
    <cellStyle name="표준" xfId="0" builtinId="0"/>
    <cellStyle name="표준 10" xfId="22"/>
    <cellStyle name="표준 11" xfId="49"/>
    <cellStyle name="표준 12" xfId="90"/>
    <cellStyle name="표준 13" xfId="126"/>
    <cellStyle name="표준 2" xfId="4"/>
    <cellStyle name="표준 2 2" xfId="23"/>
    <cellStyle name="표준 2 3" xfId="24"/>
    <cellStyle name="표준 2 3 2" xfId="25"/>
    <cellStyle name="표준 2 4" xfId="91"/>
    <cellStyle name="표준 3" xfId="26"/>
    <cellStyle name="표준 3 2" xfId="27"/>
    <cellStyle name="표준 4" xfId="28"/>
    <cellStyle name="표준 4 2" xfId="29"/>
    <cellStyle name="표준 4 2 2" xfId="30"/>
    <cellStyle name="표준 4 2 2 2" xfId="114"/>
    <cellStyle name="표준 4 2 2 3" xfId="160"/>
    <cellStyle name="표준 4 2 3" xfId="31"/>
    <cellStyle name="표준 4 2 3 2" xfId="125"/>
    <cellStyle name="표준 4 2 3 3" xfId="171"/>
    <cellStyle name="표준 4 2 4" xfId="99"/>
    <cellStyle name="표준 4 2 5" xfId="145"/>
    <cellStyle name="표준 4 3" xfId="32"/>
    <cellStyle name="표준 4 3 2" xfId="33"/>
    <cellStyle name="표준 4 3 2 2" xfId="121"/>
    <cellStyle name="표준 4 3 2 3" xfId="167"/>
    <cellStyle name="표준 4 3 3" xfId="106"/>
    <cellStyle name="표준 4 3 4" xfId="152"/>
    <cellStyle name="표준 4 4" xfId="34"/>
    <cellStyle name="표준 4 4 2" xfId="110"/>
    <cellStyle name="표준 4 4 3" xfId="156"/>
    <cellStyle name="표준 4 5" xfId="35"/>
    <cellStyle name="표준 4 5 2" xfId="123"/>
    <cellStyle name="표준 4 5 3" xfId="169"/>
    <cellStyle name="표준 4 6" xfId="96"/>
    <cellStyle name="표준 4 7" xfId="142"/>
    <cellStyle name="표준 5" xfId="36"/>
    <cellStyle name="표준 5 2" xfId="37"/>
    <cellStyle name="표준 5 2 2" xfId="38"/>
    <cellStyle name="표준 5 2 2 2" xfId="116"/>
    <cellStyle name="표준 5 2 2 3" xfId="162"/>
    <cellStyle name="표준 5 2 3" xfId="101"/>
    <cellStyle name="표준 5 2 4" xfId="147"/>
    <cellStyle name="표준 5 3" xfId="39"/>
    <cellStyle name="표준 5 3 2" xfId="112"/>
    <cellStyle name="표준 5 3 3" xfId="158"/>
    <cellStyle name="표준 5 4" xfId="40"/>
    <cellStyle name="표준 5 4 2" xfId="124"/>
    <cellStyle name="표준 5 4 3" xfId="170"/>
    <cellStyle name="표준 5 5" xfId="97"/>
    <cellStyle name="표준 5 6" xfId="143"/>
    <cellStyle name="표준 6" xfId="41"/>
    <cellStyle name="표준 6 2" xfId="42"/>
    <cellStyle name="표준 6 2 2" xfId="117"/>
    <cellStyle name="표준 6 2 3" xfId="163"/>
    <cellStyle name="표준 6 3" xfId="102"/>
    <cellStyle name="표준 6 4" xfId="148"/>
    <cellStyle name="표준 7" xfId="43"/>
    <cellStyle name="표준 7 2" xfId="44"/>
    <cellStyle name="표준 7 2 2" xfId="119"/>
    <cellStyle name="표준 7 2 3" xfId="165"/>
    <cellStyle name="표준 7 3" xfId="104"/>
    <cellStyle name="표준 7 4" xfId="150"/>
    <cellStyle name="표준 8" xfId="45"/>
    <cellStyle name="표준 9" xfId="46"/>
    <cellStyle name="표준 9 2" xfId="107"/>
    <cellStyle name="표준 9 3" xfId="153"/>
    <cellStyle name="표준_FX0001" xfId="1"/>
    <cellStyle name="표준_FX0020" xfId="2"/>
    <cellStyle name="하이퍼링크 2" xfId="47"/>
    <cellStyle name="하이퍼링크 3" xfId="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20</xdr:row>
      <xdr:rowOff>0</xdr:rowOff>
    </xdr:from>
    <xdr:to>
      <xdr:col>0</xdr:col>
      <xdr:colOff>314325</xdr:colOff>
      <xdr:row>20</xdr:row>
      <xdr:rowOff>209550</xdr:rowOff>
    </xdr:to>
    <xdr:sp macro="" textlink="">
      <xdr:nvSpPr>
        <xdr:cNvPr id="2" name="Text Box 24"/>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809625</xdr:colOff>
      <xdr:row>23</xdr:row>
      <xdr:rowOff>104775</xdr:rowOff>
    </xdr:from>
    <xdr:to>
      <xdr:col>11</xdr:col>
      <xdr:colOff>904875</xdr:colOff>
      <xdr:row>24</xdr:row>
      <xdr:rowOff>66674</xdr:rowOff>
    </xdr:to>
    <xdr:sp macro="" textlink="">
      <xdr:nvSpPr>
        <xdr:cNvPr id="3" name="Text Box 25"/>
        <xdr:cNvSpPr txBox="1">
          <a:spLocks noChangeArrowheads="1"/>
        </xdr:cNvSpPr>
      </xdr:nvSpPr>
      <xdr:spPr bwMode="auto">
        <a:xfrm>
          <a:off x="6667500" y="8582025"/>
          <a:ext cx="95250" cy="171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209550</xdr:rowOff>
    </xdr:to>
    <xdr:sp macro="" textlink="">
      <xdr:nvSpPr>
        <xdr:cNvPr id="4" name="Text Box 23"/>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209550</xdr:rowOff>
    </xdr:to>
    <xdr:sp macro="" textlink="">
      <xdr:nvSpPr>
        <xdr:cNvPr id="5" name="Text Box 24"/>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209550</xdr:rowOff>
    </xdr:to>
    <xdr:sp macro="" textlink="">
      <xdr:nvSpPr>
        <xdr:cNvPr id="6" name="Text Box 25"/>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209550</xdr:rowOff>
    </xdr:to>
    <xdr:sp macro="" textlink="">
      <xdr:nvSpPr>
        <xdr:cNvPr id="7" name="Text Box 27"/>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209550</xdr:rowOff>
    </xdr:to>
    <xdr:sp macro="" textlink="">
      <xdr:nvSpPr>
        <xdr:cNvPr id="8" name="Text Box 28"/>
        <xdr:cNvSpPr txBox="1">
          <a:spLocks noChangeArrowheads="1"/>
        </xdr:cNvSpPr>
      </xdr:nvSpPr>
      <xdr:spPr bwMode="auto">
        <a:xfrm>
          <a:off x="219075" y="6858000"/>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9" name="Text Box 24"/>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0" name="Text Box 25"/>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1" name="Text Box 26"/>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6</xdr:row>
      <xdr:rowOff>0</xdr:rowOff>
    </xdr:from>
    <xdr:to>
      <xdr:col>0</xdr:col>
      <xdr:colOff>314325</xdr:colOff>
      <xdr:row>7</xdr:row>
      <xdr:rowOff>-1</xdr:rowOff>
    </xdr:to>
    <xdr:sp macro="" textlink="">
      <xdr:nvSpPr>
        <xdr:cNvPr id="12" name="Text Box 27"/>
        <xdr:cNvSpPr txBox="1">
          <a:spLocks noChangeArrowheads="1"/>
        </xdr:cNvSpPr>
      </xdr:nvSpPr>
      <xdr:spPr bwMode="auto">
        <a:xfrm>
          <a:off x="219075" y="134302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3" name="Text Box 28"/>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4" name="Text Box 29"/>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5" name="Text Box 23"/>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6" name="Text Box 24"/>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7" name="Text Box 25"/>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18" name="Text Box 26"/>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142875</xdr:rowOff>
    </xdr:to>
    <xdr:sp macro="" textlink="">
      <xdr:nvSpPr>
        <xdr:cNvPr id="19" name="Text Box 23"/>
        <xdr:cNvSpPr txBox="1">
          <a:spLocks noChangeArrowheads="1"/>
        </xdr:cNvSpPr>
      </xdr:nvSpPr>
      <xdr:spPr bwMode="auto">
        <a:xfrm>
          <a:off x="219075" y="6858000"/>
          <a:ext cx="952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142875</xdr:rowOff>
    </xdr:to>
    <xdr:sp macro="" textlink="">
      <xdr:nvSpPr>
        <xdr:cNvPr id="20" name="Text Box 24"/>
        <xdr:cNvSpPr txBox="1">
          <a:spLocks noChangeArrowheads="1"/>
        </xdr:cNvSpPr>
      </xdr:nvSpPr>
      <xdr:spPr bwMode="auto">
        <a:xfrm>
          <a:off x="219075" y="6858000"/>
          <a:ext cx="952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142875</xdr:rowOff>
    </xdr:to>
    <xdr:sp macro="" textlink="">
      <xdr:nvSpPr>
        <xdr:cNvPr id="21" name="Text Box 25"/>
        <xdr:cNvSpPr txBox="1">
          <a:spLocks noChangeArrowheads="1"/>
        </xdr:cNvSpPr>
      </xdr:nvSpPr>
      <xdr:spPr bwMode="auto">
        <a:xfrm>
          <a:off x="219075" y="6858000"/>
          <a:ext cx="952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6</xdr:row>
      <xdr:rowOff>0</xdr:rowOff>
    </xdr:from>
    <xdr:to>
      <xdr:col>0</xdr:col>
      <xdr:colOff>314325</xdr:colOff>
      <xdr:row>7</xdr:row>
      <xdr:rowOff>-1</xdr:rowOff>
    </xdr:to>
    <xdr:sp macro="" textlink="">
      <xdr:nvSpPr>
        <xdr:cNvPr id="22" name="Text Box 26"/>
        <xdr:cNvSpPr txBox="1">
          <a:spLocks noChangeArrowheads="1"/>
        </xdr:cNvSpPr>
      </xdr:nvSpPr>
      <xdr:spPr bwMode="auto">
        <a:xfrm>
          <a:off x="219075" y="134302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142875</xdr:rowOff>
    </xdr:to>
    <xdr:sp macro="" textlink="">
      <xdr:nvSpPr>
        <xdr:cNvPr id="23" name="Text Box 27"/>
        <xdr:cNvSpPr txBox="1">
          <a:spLocks noChangeArrowheads="1"/>
        </xdr:cNvSpPr>
      </xdr:nvSpPr>
      <xdr:spPr bwMode="auto">
        <a:xfrm>
          <a:off x="219075" y="6858000"/>
          <a:ext cx="952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20</xdr:row>
      <xdr:rowOff>0</xdr:rowOff>
    </xdr:from>
    <xdr:to>
      <xdr:col>0</xdr:col>
      <xdr:colOff>314325</xdr:colOff>
      <xdr:row>20</xdr:row>
      <xdr:rowOff>142875</xdr:rowOff>
    </xdr:to>
    <xdr:sp macro="" textlink="">
      <xdr:nvSpPr>
        <xdr:cNvPr id="24" name="Text Box 28"/>
        <xdr:cNvSpPr txBox="1">
          <a:spLocks noChangeArrowheads="1"/>
        </xdr:cNvSpPr>
      </xdr:nvSpPr>
      <xdr:spPr bwMode="auto">
        <a:xfrm>
          <a:off x="219075" y="6858000"/>
          <a:ext cx="952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25" name="Text Box 23"/>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26" name="Text Box 24"/>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27" name="Text Box 25"/>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28" name="Text Box 26"/>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30" name="Text Box 28"/>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21</xdr:row>
      <xdr:rowOff>0</xdr:rowOff>
    </xdr:from>
    <xdr:to>
      <xdr:col>0</xdr:col>
      <xdr:colOff>314325</xdr:colOff>
      <xdr:row>21</xdr:row>
      <xdr:rowOff>209550</xdr:rowOff>
    </xdr:to>
    <xdr:sp macro="" textlink="">
      <xdr:nvSpPr>
        <xdr:cNvPr id="31" name="Text Box 29"/>
        <xdr:cNvSpPr txBox="1">
          <a:spLocks noChangeArrowheads="1"/>
        </xdr:cNvSpPr>
      </xdr:nvSpPr>
      <xdr:spPr bwMode="auto">
        <a:xfrm>
          <a:off x="219075" y="75723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219075</xdr:colOff>
      <xdr:row>9</xdr:row>
      <xdr:rowOff>0</xdr:rowOff>
    </xdr:from>
    <xdr:to>
      <xdr:col>0</xdr:col>
      <xdr:colOff>314325</xdr:colOff>
      <xdr:row>9</xdr:row>
      <xdr:rowOff>214312</xdr:rowOff>
    </xdr:to>
    <xdr:sp macro="" textlink="">
      <xdr:nvSpPr>
        <xdr:cNvPr id="32" name="Text Box 22"/>
        <xdr:cNvSpPr txBox="1">
          <a:spLocks noChangeArrowheads="1"/>
        </xdr:cNvSpPr>
      </xdr:nvSpPr>
      <xdr:spPr bwMode="auto">
        <a:xfrm>
          <a:off x="219075" y="2390775"/>
          <a:ext cx="95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4081191</xdr:colOff>
      <xdr:row>28</xdr:row>
      <xdr:rowOff>47625</xdr:rowOff>
    </xdr:from>
    <xdr:to>
      <xdr:col>5</xdr:col>
      <xdr:colOff>523873</xdr:colOff>
      <xdr:row>28</xdr:row>
      <xdr:rowOff>3149091</xdr:rowOff>
    </xdr:to>
    <xdr:pic>
      <xdr:nvPicPr>
        <xdr:cNvPr id="34" name="그림 33" descr="화면 캡처"/>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98535" y="18502313"/>
          <a:ext cx="2098151" cy="3101466"/>
        </a:xfrm>
        <a:prstGeom prst="rect">
          <a:avLst/>
        </a:prstGeom>
      </xdr:spPr>
    </xdr:pic>
    <xdr:clientData/>
  </xdr:twoCellAnchor>
  <xdr:twoCellAnchor editAs="oneCell">
    <xdr:from>
      <xdr:col>4</xdr:col>
      <xdr:colOff>3417094</xdr:colOff>
      <xdr:row>33</xdr:row>
      <xdr:rowOff>1143000</xdr:rowOff>
    </xdr:from>
    <xdr:to>
      <xdr:col>5</xdr:col>
      <xdr:colOff>9839</xdr:colOff>
      <xdr:row>35</xdr:row>
      <xdr:rowOff>50304</xdr:rowOff>
    </xdr:to>
    <xdr:pic>
      <xdr:nvPicPr>
        <xdr:cNvPr id="29" name="그림 28" descr="화면 캡처"/>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7094" y="25384125"/>
          <a:ext cx="2248214" cy="213389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33"/>
  <sheetViews>
    <sheetView zoomScale="90" zoomScaleNormal="90" workbookViewId="0"/>
  </sheetViews>
  <sheetFormatPr defaultRowHeight="13.5"/>
  <cols>
    <col min="1" max="1" width="11.5" style="45" bestFit="1" customWidth="1"/>
    <col min="2" max="2" width="13.25" style="45" bestFit="1" customWidth="1"/>
    <col min="3" max="3" width="8.125" style="45" bestFit="1" customWidth="1"/>
    <col min="4" max="4" width="8.125" style="56" bestFit="1" customWidth="1"/>
    <col min="5" max="5" width="8" style="45" bestFit="1" customWidth="1"/>
    <col min="6" max="6" width="11.5" style="57" bestFit="1" customWidth="1"/>
    <col min="7" max="7" width="11.5" style="52" bestFit="1" customWidth="1"/>
    <col min="8" max="8" width="15.375" style="45" customWidth="1"/>
    <col min="9" max="10" width="11.375" style="45" bestFit="1" customWidth="1"/>
    <col min="11" max="11" width="8.125" style="45" bestFit="1" customWidth="1"/>
    <col min="12" max="12" width="8.875" style="45" bestFit="1" customWidth="1"/>
    <col min="13" max="16" width="9.625" style="45" bestFit="1" customWidth="1"/>
    <col min="17" max="17" width="8" style="45" bestFit="1" customWidth="1"/>
    <col min="18" max="18" width="8.75" style="53" bestFit="1" customWidth="1"/>
    <col min="19" max="20" width="13.875" style="45" bestFit="1" customWidth="1"/>
    <col min="21" max="21" width="21.625" style="58" bestFit="1" customWidth="1"/>
    <col min="22" max="22" width="8.125" style="55" bestFit="1" customWidth="1"/>
    <col min="23" max="23" width="22" style="45" bestFit="1" customWidth="1"/>
    <col min="24" max="24" width="8" style="45" bestFit="1" customWidth="1"/>
    <col min="25" max="25" width="7.25" style="45" bestFit="1" customWidth="1"/>
    <col min="26" max="26" width="4.875" style="45" bestFit="1" customWidth="1"/>
    <col min="27" max="27" width="14.625" style="45" bestFit="1" customWidth="1"/>
    <col min="28" max="16384" width="9" style="45"/>
  </cols>
  <sheetData>
    <row r="1" spans="1:27" s="44" customFormat="1" ht="21.75" customHeight="1">
      <c r="A1" s="8" t="s">
        <v>141</v>
      </c>
      <c r="B1" s="8" t="s">
        <v>142</v>
      </c>
      <c r="C1" s="8" t="s">
        <v>143</v>
      </c>
      <c r="D1" s="38" t="s">
        <v>144</v>
      </c>
      <c r="E1" s="13" t="s">
        <v>47</v>
      </c>
      <c r="F1" s="39" t="s">
        <v>145</v>
      </c>
      <c r="G1" s="40" t="s">
        <v>146</v>
      </c>
      <c r="H1" s="12" t="s">
        <v>52</v>
      </c>
      <c r="I1" s="13" t="s">
        <v>54</v>
      </c>
      <c r="J1" s="13" t="s">
        <v>57</v>
      </c>
      <c r="K1" s="13" t="s">
        <v>58</v>
      </c>
      <c r="L1" s="13" t="s">
        <v>147</v>
      </c>
      <c r="M1" s="13" t="s">
        <v>148</v>
      </c>
      <c r="N1" s="12" t="s">
        <v>149</v>
      </c>
      <c r="O1" s="13" t="s">
        <v>150</v>
      </c>
      <c r="P1" s="13" t="s">
        <v>151</v>
      </c>
      <c r="Q1" s="13" t="s">
        <v>70</v>
      </c>
      <c r="R1" s="41" t="s">
        <v>152</v>
      </c>
      <c r="S1" s="13" t="s">
        <v>153</v>
      </c>
      <c r="T1" s="13" t="s">
        <v>154</v>
      </c>
      <c r="U1" s="42" t="s">
        <v>155</v>
      </c>
      <c r="V1" s="43" t="s">
        <v>81</v>
      </c>
      <c r="W1" s="12" t="s">
        <v>156</v>
      </c>
      <c r="X1" s="12" t="s">
        <v>87</v>
      </c>
      <c r="Y1" s="13" t="s">
        <v>157</v>
      </c>
      <c r="Z1" s="13" t="s">
        <v>158</v>
      </c>
      <c r="AA1" s="13" t="s">
        <v>159</v>
      </c>
    </row>
    <row r="2" spans="1:27" s="150" customFormat="1">
      <c r="A2" s="141">
        <v>1</v>
      </c>
      <c r="B2" s="142" t="s">
        <v>207</v>
      </c>
      <c r="C2" s="141">
        <v>1</v>
      </c>
      <c r="D2" s="143">
        <v>11</v>
      </c>
      <c r="E2" s="141" t="str">
        <f>RIGHT('FX_DEAL All'!E2,5)</f>
        <v>00107</v>
      </c>
      <c r="F2" s="144">
        <v>1188</v>
      </c>
      <c r="G2" s="145">
        <v>1104</v>
      </c>
      <c r="H2" s="146">
        <v>29358000</v>
      </c>
      <c r="I2" s="141" t="s">
        <v>355</v>
      </c>
      <c r="J2" s="141" t="s">
        <v>355</v>
      </c>
      <c r="K2" s="141">
        <v>164043</v>
      </c>
      <c r="L2" s="141">
        <v>1</v>
      </c>
      <c r="M2" s="141"/>
      <c r="N2" s="141">
        <v>20240419</v>
      </c>
      <c r="O2" s="141">
        <v>20240520</v>
      </c>
      <c r="P2" s="141"/>
      <c r="Q2" s="140" t="s">
        <v>206</v>
      </c>
      <c r="R2" s="147">
        <v>1187.2</v>
      </c>
      <c r="S2" s="141" t="s">
        <v>205</v>
      </c>
      <c r="T2" s="142" t="s">
        <v>205</v>
      </c>
      <c r="U2" s="148">
        <v>0</v>
      </c>
      <c r="V2" s="149">
        <v>2.92</v>
      </c>
      <c r="W2" s="142" t="s">
        <v>205</v>
      </c>
      <c r="X2" s="142" t="s">
        <v>206</v>
      </c>
      <c r="Y2" s="141"/>
      <c r="Z2" s="141"/>
      <c r="AA2" s="141"/>
    </row>
    <row r="3" spans="1:27" s="150" customFormat="1">
      <c r="A3" s="141">
        <v>1</v>
      </c>
      <c r="B3" s="142" t="s">
        <v>207</v>
      </c>
      <c r="C3" s="141">
        <v>1</v>
      </c>
      <c r="D3" s="143">
        <v>11</v>
      </c>
      <c r="E3" s="141" t="str">
        <f>RIGHT('FX_DEAL All'!E3,5)</f>
        <v>00207</v>
      </c>
      <c r="F3" s="144">
        <v>1104</v>
      </c>
      <c r="G3" s="145">
        <v>1188</v>
      </c>
      <c r="H3" s="146">
        <v>51257642.880679525</v>
      </c>
      <c r="I3" s="141" t="s">
        <v>360</v>
      </c>
      <c r="J3" s="141" t="s">
        <v>360</v>
      </c>
      <c r="K3" s="141">
        <v>164320</v>
      </c>
      <c r="L3" s="141">
        <v>1</v>
      </c>
      <c r="M3" s="141"/>
      <c r="N3" s="141">
        <v>20240419</v>
      </c>
      <c r="O3" s="141">
        <v>20240721</v>
      </c>
      <c r="P3" s="141"/>
      <c r="Q3" s="140" t="s">
        <v>206</v>
      </c>
      <c r="R3" s="147">
        <v>1187.2</v>
      </c>
      <c r="S3" s="141" t="s">
        <v>205</v>
      </c>
      <c r="T3" s="142" t="s">
        <v>205</v>
      </c>
      <c r="U3" s="148">
        <v>0</v>
      </c>
      <c r="V3" s="149">
        <v>2.1</v>
      </c>
      <c r="W3" s="142" t="s">
        <v>205</v>
      </c>
      <c r="X3" s="142" t="s">
        <v>206</v>
      </c>
      <c r="Y3" s="141"/>
      <c r="Z3" s="141"/>
      <c r="AA3" s="141"/>
    </row>
    <row r="4" spans="1:27" s="150" customFormat="1">
      <c r="A4" s="141">
        <v>1</v>
      </c>
      <c r="B4" s="142" t="s">
        <v>207</v>
      </c>
      <c r="C4" s="141">
        <v>1</v>
      </c>
      <c r="D4" s="143">
        <v>11</v>
      </c>
      <c r="E4" s="141" t="str">
        <f>RIGHT('FX_DEAL All'!E4,5)</f>
        <v>00307</v>
      </c>
      <c r="F4" s="144">
        <v>1331</v>
      </c>
      <c r="G4" s="145">
        <v>1560</v>
      </c>
      <c r="H4" s="146">
        <v>206549999.99999997</v>
      </c>
      <c r="I4" s="141" t="s">
        <v>364</v>
      </c>
      <c r="J4" s="141" t="s">
        <v>364</v>
      </c>
      <c r="K4" s="141">
        <v>144645</v>
      </c>
      <c r="L4" s="141">
        <v>1</v>
      </c>
      <c r="M4" s="141"/>
      <c r="N4" s="141">
        <v>20240403</v>
      </c>
      <c r="O4" s="141">
        <v>20240404</v>
      </c>
      <c r="P4" s="141"/>
      <c r="Q4" s="140" t="s">
        <v>206</v>
      </c>
      <c r="R4" s="147">
        <v>1187.2</v>
      </c>
      <c r="S4" s="141" t="s">
        <v>205</v>
      </c>
      <c r="T4" s="142" t="s">
        <v>205</v>
      </c>
      <c r="U4" s="148">
        <v>0</v>
      </c>
      <c r="V4" s="149">
        <v>2.2254999999999998</v>
      </c>
      <c r="W4" s="142" t="s">
        <v>205</v>
      </c>
      <c r="X4" s="142" t="s">
        <v>206</v>
      </c>
      <c r="Y4" s="141"/>
      <c r="Z4" s="141"/>
      <c r="AA4" s="141"/>
    </row>
    <row r="5" spans="1:27" s="150" customFormat="1">
      <c r="A5" s="141">
        <v>1</v>
      </c>
      <c r="B5" s="142" t="s">
        <v>207</v>
      </c>
      <c r="C5" s="141">
        <v>1</v>
      </c>
      <c r="D5" s="143">
        <v>11</v>
      </c>
      <c r="E5" s="141" t="str">
        <f>RIGHT('FX_DEAL All'!E5,5)</f>
        <v>00407</v>
      </c>
      <c r="F5" s="144">
        <v>1560</v>
      </c>
      <c r="G5" s="145">
        <v>1331</v>
      </c>
      <c r="H5" s="146">
        <v>19314000</v>
      </c>
      <c r="I5" s="141" t="s">
        <v>369</v>
      </c>
      <c r="J5" s="141" t="s">
        <v>369</v>
      </c>
      <c r="K5" s="141">
        <v>171340</v>
      </c>
      <c r="L5" s="141">
        <v>1</v>
      </c>
      <c r="M5" s="141"/>
      <c r="N5" s="141">
        <v>20240419</v>
      </c>
      <c r="O5" s="141">
        <v>20240620</v>
      </c>
      <c r="P5" s="141"/>
      <c r="Q5" s="140" t="s">
        <v>206</v>
      </c>
      <c r="R5" s="147">
        <v>1187.2</v>
      </c>
      <c r="S5" s="141" t="s">
        <v>205</v>
      </c>
      <c r="T5" s="142" t="s">
        <v>205</v>
      </c>
      <c r="U5" s="148">
        <v>0</v>
      </c>
      <c r="V5" s="149">
        <v>-0.12</v>
      </c>
      <c r="W5" s="142" t="s">
        <v>205</v>
      </c>
      <c r="X5" s="142" t="s">
        <v>206</v>
      </c>
      <c r="Y5" s="141"/>
      <c r="Z5" s="141"/>
      <c r="AA5" s="141"/>
    </row>
    <row r="6" spans="1:27" s="150" customFormat="1">
      <c r="A6" s="141">
        <v>1</v>
      </c>
      <c r="B6" s="142" t="s">
        <v>207</v>
      </c>
      <c r="C6" s="141">
        <v>1</v>
      </c>
      <c r="D6" s="143">
        <v>11</v>
      </c>
      <c r="E6" s="141" t="str">
        <f>RIGHT('FX_DEAL All'!E6,5)</f>
        <v>00507</v>
      </c>
      <c r="F6" s="144">
        <v>1544</v>
      </c>
      <c r="G6" s="145">
        <v>1403</v>
      </c>
      <c r="H6" s="146">
        <v>65059800</v>
      </c>
      <c r="I6" s="141" t="s">
        <v>374</v>
      </c>
      <c r="J6" s="141" t="s">
        <v>374</v>
      </c>
      <c r="K6" s="141">
        <v>172121</v>
      </c>
      <c r="L6" s="141">
        <v>1</v>
      </c>
      <c r="M6" s="141"/>
      <c r="N6" s="141">
        <v>20240417</v>
      </c>
      <c r="O6" s="141">
        <v>20240418</v>
      </c>
      <c r="P6" s="141"/>
      <c r="Q6" s="140" t="s">
        <v>206</v>
      </c>
      <c r="R6" s="147">
        <v>1187.2</v>
      </c>
      <c r="S6" s="141" t="s">
        <v>205</v>
      </c>
      <c r="T6" s="142" t="s">
        <v>205</v>
      </c>
      <c r="U6" s="148">
        <v>0</v>
      </c>
      <c r="V6" s="149">
        <v>0.15</v>
      </c>
      <c r="W6" s="142" t="s">
        <v>205</v>
      </c>
      <c r="X6" s="142" t="s">
        <v>206</v>
      </c>
      <c r="Y6" s="141"/>
      <c r="Z6" s="141"/>
      <c r="AA6" s="141"/>
    </row>
    <row r="7" spans="1:27" s="150" customFormat="1">
      <c r="A7" s="141">
        <v>1</v>
      </c>
      <c r="B7" s="142" t="s">
        <v>207</v>
      </c>
      <c r="C7" s="141">
        <v>1</v>
      </c>
      <c r="D7" s="143">
        <v>11</v>
      </c>
      <c r="E7" s="141" t="str">
        <f>RIGHT('FX_DEAL All'!E7,5)</f>
        <v>00607</v>
      </c>
      <c r="F7" s="144">
        <v>1403</v>
      </c>
      <c r="G7" s="145">
        <v>1544</v>
      </c>
      <c r="H7" s="146">
        <v>2235693.1606952366</v>
      </c>
      <c r="I7" s="141" t="s">
        <v>375</v>
      </c>
      <c r="J7" s="141" t="s">
        <v>375</v>
      </c>
      <c r="K7" s="141">
        <v>172708</v>
      </c>
      <c r="L7" s="141">
        <v>1</v>
      </c>
      <c r="M7" s="141"/>
      <c r="N7" s="141">
        <v>20240417</v>
      </c>
      <c r="O7" s="141">
        <v>20240418</v>
      </c>
      <c r="P7" s="141"/>
      <c r="Q7" s="140" t="s">
        <v>206</v>
      </c>
      <c r="R7" s="147">
        <v>1187.2</v>
      </c>
      <c r="S7" s="141" t="s">
        <v>205</v>
      </c>
      <c r="T7" s="142" t="s">
        <v>205</v>
      </c>
      <c r="U7" s="148">
        <v>0</v>
      </c>
      <c r="V7" s="149">
        <v>0.15</v>
      </c>
      <c r="W7" s="142" t="s">
        <v>205</v>
      </c>
      <c r="X7" s="142" t="s">
        <v>206</v>
      </c>
      <c r="Y7" s="141"/>
      <c r="Z7" s="141"/>
      <c r="AA7" s="141"/>
    </row>
    <row r="8" spans="1:27" s="150" customFormat="1">
      <c r="A8" s="141">
        <v>1</v>
      </c>
      <c r="B8" s="142" t="s">
        <v>207</v>
      </c>
      <c r="C8" s="141">
        <v>1</v>
      </c>
      <c r="D8" s="143">
        <v>11</v>
      </c>
      <c r="E8" s="141" t="str">
        <f>RIGHT('FX_DEAL All'!E8,5)</f>
        <v>00707</v>
      </c>
      <c r="F8" s="144">
        <v>1519</v>
      </c>
      <c r="G8" s="145">
        <v>1521</v>
      </c>
      <c r="H8" s="146">
        <v>19282064.466368865</v>
      </c>
      <c r="I8" s="141" t="s">
        <v>378</v>
      </c>
      <c r="J8" s="141" t="s">
        <v>378</v>
      </c>
      <c r="K8" s="141">
        <v>174556</v>
      </c>
      <c r="L8" s="141">
        <v>1</v>
      </c>
      <c r="M8" s="141"/>
      <c r="N8" s="141">
        <v>20240417</v>
      </c>
      <c r="O8" s="141">
        <v>20240418</v>
      </c>
      <c r="P8" s="141"/>
      <c r="Q8" s="140" t="s">
        <v>206</v>
      </c>
      <c r="R8" s="147">
        <v>1187.2</v>
      </c>
      <c r="S8" s="141" t="s">
        <v>205</v>
      </c>
      <c r="T8" s="142" t="s">
        <v>205</v>
      </c>
      <c r="U8" s="148">
        <v>0</v>
      </c>
      <c r="V8" s="149">
        <v>0.15</v>
      </c>
      <c r="W8" s="142" t="s">
        <v>205</v>
      </c>
      <c r="X8" s="142" t="s">
        <v>206</v>
      </c>
      <c r="Y8" s="141"/>
      <c r="Z8" s="141"/>
      <c r="AA8" s="141"/>
    </row>
    <row r="9" spans="1:27" s="150" customFormat="1">
      <c r="A9" s="141">
        <v>1</v>
      </c>
      <c r="B9" s="142" t="s">
        <v>207</v>
      </c>
      <c r="C9" s="141">
        <v>1</v>
      </c>
      <c r="D9" s="143">
        <v>11</v>
      </c>
      <c r="E9" s="141" t="str">
        <f>RIGHT('FX_DEAL All'!E9,5)</f>
        <v>00807</v>
      </c>
      <c r="F9" s="144">
        <v>1521</v>
      </c>
      <c r="G9" s="145">
        <v>1519</v>
      </c>
      <c r="H9" s="146">
        <v>11916000</v>
      </c>
      <c r="I9" s="141" t="s">
        <v>380</v>
      </c>
      <c r="J9" s="141" t="s">
        <v>380</v>
      </c>
      <c r="K9" s="141">
        <v>174749</v>
      </c>
      <c r="L9" s="141">
        <v>1</v>
      </c>
      <c r="M9" s="141"/>
      <c r="N9" s="141">
        <v>20240417</v>
      </c>
      <c r="O9" s="141">
        <v>20240418</v>
      </c>
      <c r="P9" s="141"/>
      <c r="Q9" s="140" t="s">
        <v>206</v>
      </c>
      <c r="R9" s="147">
        <v>1187.2</v>
      </c>
      <c r="S9" s="141" t="s">
        <v>205</v>
      </c>
      <c r="T9" s="142" t="s">
        <v>205</v>
      </c>
      <c r="U9" s="148">
        <v>0</v>
      </c>
      <c r="V9" s="149">
        <v>2.5</v>
      </c>
      <c r="W9" s="142" t="s">
        <v>205</v>
      </c>
      <c r="X9" s="142" t="s">
        <v>206</v>
      </c>
      <c r="Y9" s="141"/>
      <c r="Z9" s="141"/>
      <c r="AA9" s="141"/>
    </row>
    <row r="10" spans="1:27" s="150" customFormat="1">
      <c r="A10" s="136">
        <v>1</v>
      </c>
      <c r="B10" s="151" t="s">
        <v>207</v>
      </c>
      <c r="C10" s="136">
        <v>1</v>
      </c>
      <c r="D10" s="143">
        <v>11</v>
      </c>
      <c r="E10" s="141" t="str">
        <f>RIGHT('FX_DEAL All'!E10,5)</f>
        <v>00907</v>
      </c>
      <c r="F10" s="144">
        <v>1331</v>
      </c>
      <c r="G10" s="145">
        <v>1104</v>
      </c>
      <c r="H10" s="146">
        <v>25758021.783926994</v>
      </c>
      <c r="I10" s="141" t="s">
        <v>382</v>
      </c>
      <c r="J10" s="141" t="s">
        <v>382</v>
      </c>
      <c r="K10" s="141">
        <v>180536</v>
      </c>
      <c r="L10" s="141">
        <v>1</v>
      </c>
      <c r="M10" s="141"/>
      <c r="N10" s="141">
        <v>20240419</v>
      </c>
      <c r="O10" s="141">
        <v>20240422</v>
      </c>
      <c r="P10" s="141"/>
      <c r="Q10" s="140" t="s">
        <v>206</v>
      </c>
      <c r="R10" s="147">
        <v>1187.2</v>
      </c>
      <c r="S10" s="141" t="s">
        <v>205</v>
      </c>
      <c r="T10" s="142" t="s">
        <v>205</v>
      </c>
      <c r="U10" s="148">
        <v>0</v>
      </c>
      <c r="V10" s="149">
        <v>1.1000000000000001</v>
      </c>
      <c r="W10" s="142" t="s">
        <v>205</v>
      </c>
      <c r="X10" s="142" t="s">
        <v>206</v>
      </c>
      <c r="Y10" s="136"/>
      <c r="Z10" s="136"/>
      <c r="AA10" s="136"/>
    </row>
    <row r="11" spans="1:27" s="150" customFormat="1">
      <c r="A11" s="141">
        <v>1</v>
      </c>
      <c r="B11" s="142" t="s">
        <v>207</v>
      </c>
      <c r="C11" s="141">
        <v>1</v>
      </c>
      <c r="D11" s="143">
        <v>11</v>
      </c>
      <c r="E11" s="141" t="str">
        <f>RIGHT('FX_DEAL All'!E11,5)</f>
        <v>01007</v>
      </c>
      <c r="F11" s="144">
        <v>1104</v>
      </c>
      <c r="G11" s="145">
        <v>1331</v>
      </c>
      <c r="H11" s="146">
        <v>100000000</v>
      </c>
      <c r="I11" s="141" t="s">
        <v>203</v>
      </c>
      <c r="J11" s="141" t="s">
        <v>203</v>
      </c>
      <c r="K11" s="141">
        <v>111618</v>
      </c>
      <c r="L11" s="141">
        <v>1</v>
      </c>
      <c r="M11" s="141"/>
      <c r="N11" s="141">
        <v>20240403</v>
      </c>
      <c r="O11" s="141">
        <v>20240404</v>
      </c>
      <c r="P11" s="141"/>
      <c r="Q11" s="140" t="s">
        <v>206</v>
      </c>
      <c r="R11" s="147">
        <v>1187.2</v>
      </c>
      <c r="S11" s="141" t="s">
        <v>205</v>
      </c>
      <c r="T11" s="142" t="s">
        <v>205</v>
      </c>
      <c r="U11" s="148">
        <v>0</v>
      </c>
      <c r="V11" s="149">
        <v>5.6</v>
      </c>
      <c r="W11" s="142" t="s">
        <v>205</v>
      </c>
      <c r="X11" s="142" t="s">
        <v>206</v>
      </c>
      <c r="Y11" s="141"/>
      <c r="Z11" s="141"/>
      <c r="AA11" s="141"/>
    </row>
    <row r="12" spans="1:27" s="152" customFormat="1">
      <c r="A12" s="141">
        <v>1</v>
      </c>
      <c r="B12" s="142" t="s">
        <v>207</v>
      </c>
      <c r="C12" s="141">
        <v>1</v>
      </c>
      <c r="D12" s="143">
        <v>31</v>
      </c>
      <c r="E12" s="141" t="str">
        <f>RIGHT('FX_DEAL All'!E12,5)</f>
        <v>00105</v>
      </c>
      <c r="F12" s="144">
        <v>1519</v>
      </c>
      <c r="G12" s="145">
        <v>1544</v>
      </c>
      <c r="H12" s="146">
        <v>50000000</v>
      </c>
      <c r="I12" s="141" t="s">
        <v>476</v>
      </c>
      <c r="J12" s="137" t="s">
        <v>204</v>
      </c>
      <c r="K12" s="141">
        <v>103555</v>
      </c>
      <c r="L12" s="141">
        <v>1</v>
      </c>
      <c r="M12" s="141">
        <v>20240715</v>
      </c>
      <c r="N12" s="141"/>
      <c r="P12" s="141"/>
      <c r="Q12" s="140" t="s">
        <v>298</v>
      </c>
      <c r="R12" s="147">
        <v>1184.4849999999999</v>
      </c>
      <c r="S12" s="141" t="s">
        <v>205</v>
      </c>
      <c r="T12" s="142" t="s">
        <v>205</v>
      </c>
      <c r="U12" s="148" t="s">
        <v>205</v>
      </c>
      <c r="V12" s="149" t="s">
        <v>205</v>
      </c>
      <c r="W12" s="142" t="s">
        <v>205</v>
      </c>
      <c r="X12" s="142" t="s">
        <v>206</v>
      </c>
      <c r="Y12" s="141"/>
      <c r="Z12" s="141"/>
      <c r="AA12" s="141"/>
    </row>
    <row r="13" spans="1:27" s="150" customFormat="1">
      <c r="A13" s="136">
        <v>1</v>
      </c>
      <c r="B13" s="151" t="s">
        <v>207</v>
      </c>
      <c r="C13" s="136">
        <v>1</v>
      </c>
      <c r="D13" s="143">
        <v>33</v>
      </c>
      <c r="E13" s="141" t="str">
        <f>RIGHT('FX_DEAL All'!E13,5)</f>
        <v>00301</v>
      </c>
      <c r="F13" s="144">
        <v>1544</v>
      </c>
      <c r="G13" s="145">
        <v>1519</v>
      </c>
      <c r="H13" s="146">
        <v>111222333.4444</v>
      </c>
      <c r="I13" s="141" t="s">
        <v>476</v>
      </c>
      <c r="J13" s="137" t="s">
        <v>204</v>
      </c>
      <c r="K13" s="141">
        <v>174140</v>
      </c>
      <c r="L13" s="141">
        <v>1</v>
      </c>
      <c r="M13" s="141" t="s">
        <v>205</v>
      </c>
      <c r="N13" s="141">
        <v>20240604</v>
      </c>
      <c r="O13" s="141">
        <v>20240705</v>
      </c>
      <c r="P13" s="141"/>
      <c r="Q13" s="140" t="s">
        <v>299</v>
      </c>
      <c r="R13" s="147" t="s">
        <v>205</v>
      </c>
      <c r="S13" s="141">
        <v>1186.8</v>
      </c>
      <c r="T13" s="142">
        <v>1186.5</v>
      </c>
      <c r="U13" s="148" t="s">
        <v>205</v>
      </c>
      <c r="V13" s="149" t="s">
        <v>205</v>
      </c>
      <c r="W13" s="142" t="s">
        <v>205</v>
      </c>
      <c r="X13" s="142" t="s">
        <v>206</v>
      </c>
      <c r="Y13" s="136"/>
      <c r="Z13" s="136"/>
      <c r="AA13" s="136"/>
    </row>
    <row r="14" spans="1:27" s="150" customFormat="1">
      <c r="A14" s="141">
        <v>1</v>
      </c>
      <c r="B14" s="142" t="s">
        <v>207</v>
      </c>
      <c r="C14" s="141">
        <v>1</v>
      </c>
      <c r="D14" s="143">
        <v>33</v>
      </c>
      <c r="E14" s="141" t="str">
        <f>RIGHT('FX_DEAL All'!E14,5)</f>
        <v>01101</v>
      </c>
      <c r="F14" s="144">
        <v>1104</v>
      </c>
      <c r="G14" s="145">
        <v>1521</v>
      </c>
      <c r="H14" s="146">
        <v>72642742.989975303</v>
      </c>
      <c r="I14" s="141" t="s">
        <v>476</v>
      </c>
      <c r="J14" s="137" t="s">
        <v>204</v>
      </c>
      <c r="K14" s="141">
        <v>180639</v>
      </c>
      <c r="L14" s="141">
        <v>1</v>
      </c>
      <c r="M14" s="141" t="s">
        <v>205</v>
      </c>
      <c r="N14" s="141">
        <v>20240405</v>
      </c>
      <c r="O14" s="141">
        <v>20240507</v>
      </c>
      <c r="P14" s="141"/>
      <c r="Q14" s="140" t="s">
        <v>299</v>
      </c>
      <c r="R14" s="147" t="s">
        <v>205</v>
      </c>
      <c r="S14" s="141">
        <v>1186.8</v>
      </c>
      <c r="T14" s="142">
        <v>1186.5</v>
      </c>
      <c r="U14" s="148" t="s">
        <v>205</v>
      </c>
      <c r="V14" s="149" t="s">
        <v>205</v>
      </c>
      <c r="W14" s="142" t="s">
        <v>205</v>
      </c>
      <c r="X14" s="142" t="s">
        <v>206</v>
      </c>
      <c r="Y14" s="141"/>
      <c r="Z14" s="141"/>
      <c r="AA14" s="141"/>
    </row>
    <row r="15" spans="1:27" s="152" customFormat="1">
      <c r="A15" s="141">
        <v>1</v>
      </c>
      <c r="B15" s="142" t="s">
        <v>207</v>
      </c>
      <c r="C15" s="141">
        <v>1</v>
      </c>
      <c r="D15" s="143">
        <v>33</v>
      </c>
      <c r="E15" s="141" t="str">
        <f>RIGHT('FX_DEAL All'!E15,5)</f>
        <v>01201</v>
      </c>
      <c r="F15" s="144">
        <v>1104</v>
      </c>
      <c r="G15" s="145">
        <v>1521</v>
      </c>
      <c r="H15" s="146">
        <v>94424000</v>
      </c>
      <c r="I15" s="141" t="s">
        <v>476</v>
      </c>
      <c r="J15" s="137" t="s">
        <v>204</v>
      </c>
      <c r="K15" s="141">
        <v>180639</v>
      </c>
      <c r="L15" s="141">
        <v>1</v>
      </c>
      <c r="M15" s="141" t="s">
        <v>205</v>
      </c>
      <c r="N15" s="141">
        <v>20240405</v>
      </c>
      <c r="O15" s="141">
        <v>20240507</v>
      </c>
      <c r="P15" s="141"/>
      <c r="Q15" s="140" t="s">
        <v>301</v>
      </c>
      <c r="R15" s="147" t="s">
        <v>205</v>
      </c>
      <c r="S15" s="141">
        <v>1188.7</v>
      </c>
      <c r="T15" s="142">
        <v>1188.73</v>
      </c>
      <c r="U15" s="148" t="s">
        <v>205</v>
      </c>
      <c r="V15" s="149" t="s">
        <v>205</v>
      </c>
      <c r="W15" s="142" t="s">
        <v>205</v>
      </c>
      <c r="X15" s="142" t="s">
        <v>206</v>
      </c>
    </row>
    <row r="16" spans="1:27" s="150" customFormat="1">
      <c r="A16" s="141">
        <v>1</v>
      </c>
      <c r="B16" s="142" t="s">
        <v>207</v>
      </c>
      <c r="C16" s="141">
        <v>1</v>
      </c>
      <c r="D16" s="143">
        <v>33</v>
      </c>
      <c r="E16" s="141" t="str">
        <f>RIGHT('FX_DEAL All'!E16,5)</f>
        <v>01301</v>
      </c>
      <c r="F16" s="144">
        <v>1519</v>
      </c>
      <c r="G16" s="145">
        <v>1560</v>
      </c>
      <c r="H16" s="146">
        <v>67562100</v>
      </c>
      <c r="I16" s="141" t="s">
        <v>476</v>
      </c>
      <c r="J16" s="137" t="s">
        <v>204</v>
      </c>
      <c r="K16" s="141">
        <v>180639</v>
      </c>
      <c r="L16" s="141">
        <v>1</v>
      </c>
      <c r="M16" s="141" t="s">
        <v>205</v>
      </c>
      <c r="N16" s="141">
        <v>20240405</v>
      </c>
      <c r="O16" s="141">
        <v>20240507</v>
      </c>
      <c r="P16" s="141"/>
      <c r="Q16" s="140" t="s">
        <v>301</v>
      </c>
      <c r="R16" s="147" t="s">
        <v>205</v>
      </c>
      <c r="S16" s="141">
        <v>1188.9000000000001</v>
      </c>
      <c r="T16" s="142">
        <v>1188.93</v>
      </c>
      <c r="U16" s="148" t="s">
        <v>205</v>
      </c>
      <c r="V16" s="149" t="s">
        <v>205</v>
      </c>
      <c r="W16" s="142" t="s">
        <v>205</v>
      </c>
      <c r="X16" s="142" t="s">
        <v>206</v>
      </c>
    </row>
    <row r="17" spans="1:24" s="150" customFormat="1">
      <c r="A17" s="141">
        <v>1</v>
      </c>
      <c r="B17" s="142" t="s">
        <v>207</v>
      </c>
      <c r="C17" s="141">
        <v>1</v>
      </c>
      <c r="D17" s="143">
        <v>33</v>
      </c>
      <c r="E17" s="141" t="str">
        <f>RIGHT('FX_DEAL All'!E17,5)</f>
        <v>01401</v>
      </c>
      <c r="F17" s="144">
        <v>1560</v>
      </c>
      <c r="G17" s="145">
        <v>1519</v>
      </c>
      <c r="H17" s="146">
        <v>12775389.489687068</v>
      </c>
      <c r="I17" s="141" t="s">
        <v>476</v>
      </c>
      <c r="J17" s="137" t="s">
        <v>204</v>
      </c>
      <c r="K17" s="141">
        <v>180639</v>
      </c>
      <c r="L17" s="141">
        <v>1</v>
      </c>
      <c r="M17" s="141" t="s">
        <v>205</v>
      </c>
      <c r="N17" s="141">
        <v>20240405</v>
      </c>
      <c r="O17" s="141">
        <v>20240507</v>
      </c>
      <c r="P17" s="141"/>
      <c r="Q17" s="140" t="s">
        <v>302</v>
      </c>
      <c r="R17" s="147" t="s">
        <v>205</v>
      </c>
      <c r="S17" s="141">
        <v>1186.7</v>
      </c>
      <c r="T17" s="142">
        <v>1186.72</v>
      </c>
      <c r="U17" s="148" t="s">
        <v>205</v>
      </c>
      <c r="V17" s="149" t="s">
        <v>205</v>
      </c>
      <c r="W17" s="142" t="s">
        <v>205</v>
      </c>
      <c r="X17" s="142" t="s">
        <v>206</v>
      </c>
    </row>
    <row r="18" spans="1:24" s="150" customFormat="1">
      <c r="A18" s="141">
        <v>1</v>
      </c>
      <c r="B18" s="142" t="s">
        <v>207</v>
      </c>
      <c r="C18" s="141">
        <v>1</v>
      </c>
      <c r="D18" s="143">
        <v>33</v>
      </c>
      <c r="E18" s="141" t="str">
        <f>RIGHT('FX_DEAL All'!E18,5)</f>
        <v>01501</v>
      </c>
      <c r="F18" s="144">
        <v>1403</v>
      </c>
      <c r="G18" s="145">
        <v>1331</v>
      </c>
      <c r="H18" s="146">
        <v>2754000000</v>
      </c>
      <c r="I18" s="141" t="s">
        <v>476</v>
      </c>
      <c r="J18" s="137" t="s">
        <v>204</v>
      </c>
      <c r="K18" s="141">
        <v>180639</v>
      </c>
      <c r="L18" s="141">
        <v>1</v>
      </c>
      <c r="M18" s="141" t="s">
        <v>205</v>
      </c>
      <c r="N18" s="141">
        <v>20240405</v>
      </c>
      <c r="O18" s="141">
        <v>20240507</v>
      </c>
      <c r="P18" s="141"/>
      <c r="Q18" s="140" t="s">
        <v>302</v>
      </c>
      <c r="R18" s="147" t="s">
        <v>205</v>
      </c>
      <c r="S18" s="141">
        <v>1186.7</v>
      </c>
      <c r="T18" s="142">
        <v>1186.72</v>
      </c>
      <c r="U18" s="148" t="s">
        <v>205</v>
      </c>
      <c r="V18" s="149" t="s">
        <v>205</v>
      </c>
      <c r="W18" s="142" t="s">
        <v>205</v>
      </c>
      <c r="X18" s="142" t="s">
        <v>206</v>
      </c>
    </row>
    <row r="19" spans="1:24" s="150" customFormat="1">
      <c r="A19" s="141">
        <v>1</v>
      </c>
      <c r="B19" s="142" t="s">
        <v>207</v>
      </c>
      <c r="C19" s="141">
        <v>1</v>
      </c>
      <c r="D19" s="143">
        <v>33</v>
      </c>
      <c r="E19" s="141" t="str">
        <f>RIGHT('FX_DEAL All'!E19,5)</f>
        <v>01161</v>
      </c>
      <c r="F19" s="144">
        <v>1331</v>
      </c>
      <c r="G19" s="145">
        <v>1403</v>
      </c>
      <c r="H19" s="146">
        <v>19282064.466368865</v>
      </c>
      <c r="I19" s="141" t="s">
        <v>476</v>
      </c>
      <c r="J19" s="137" t="s">
        <v>204</v>
      </c>
      <c r="K19" s="141">
        <v>180639</v>
      </c>
      <c r="L19" s="141">
        <v>1</v>
      </c>
      <c r="M19" s="141" t="s">
        <v>205</v>
      </c>
      <c r="N19" s="141">
        <v>20240405</v>
      </c>
      <c r="O19" s="141">
        <v>20240507</v>
      </c>
      <c r="P19" s="141"/>
      <c r="Q19" s="140" t="s">
        <v>302</v>
      </c>
      <c r="R19" s="147" t="s">
        <v>205</v>
      </c>
      <c r="S19" s="141">
        <v>1186.7</v>
      </c>
      <c r="T19" s="142">
        <v>1186.72</v>
      </c>
      <c r="U19" s="148" t="s">
        <v>205</v>
      </c>
      <c r="V19" s="149" t="s">
        <v>205</v>
      </c>
      <c r="W19" s="142" t="s">
        <v>205</v>
      </c>
      <c r="X19" s="142" t="s">
        <v>206</v>
      </c>
    </row>
    <row r="20" spans="1:24" s="150" customFormat="1">
      <c r="A20" s="141">
        <v>1</v>
      </c>
      <c r="B20" s="142" t="s">
        <v>207</v>
      </c>
      <c r="C20" s="141">
        <v>1</v>
      </c>
      <c r="D20" s="143">
        <v>32</v>
      </c>
      <c r="E20" s="141" t="str">
        <f>RIGHT('FX_DEAL All'!E20,5)</f>
        <v>00104</v>
      </c>
      <c r="F20" s="144">
        <v>1544</v>
      </c>
      <c r="G20" s="145">
        <v>1519</v>
      </c>
      <c r="H20" s="146">
        <v>50000000</v>
      </c>
      <c r="I20" s="141" t="s">
        <v>476</v>
      </c>
      <c r="J20" s="137" t="s">
        <v>204</v>
      </c>
      <c r="K20" s="141">
        <v>103646</v>
      </c>
      <c r="L20" s="141">
        <v>1</v>
      </c>
      <c r="M20" s="141">
        <v>20240715</v>
      </c>
      <c r="N20" s="141"/>
      <c r="P20" s="141"/>
      <c r="Q20" s="140" t="s">
        <v>302</v>
      </c>
      <c r="R20" s="147" t="s">
        <v>205</v>
      </c>
      <c r="S20" s="141">
        <v>1186.7</v>
      </c>
      <c r="T20" s="142">
        <v>1186.72</v>
      </c>
      <c r="U20" s="148" t="s">
        <v>205</v>
      </c>
      <c r="V20" s="149" t="s">
        <v>205</v>
      </c>
      <c r="W20" s="142" t="s">
        <v>205</v>
      </c>
      <c r="X20" s="142" t="s">
        <v>206</v>
      </c>
    </row>
    <row r="21" spans="1:24" s="150" customFormat="1">
      <c r="A21" s="141">
        <v>1</v>
      </c>
      <c r="B21" s="142" t="s">
        <v>207</v>
      </c>
      <c r="C21" s="141">
        <v>1</v>
      </c>
      <c r="D21" s="143">
        <v>32</v>
      </c>
      <c r="E21" s="141" t="str">
        <f>RIGHT('FX_DEAL All'!E21,5)</f>
        <v>00106</v>
      </c>
      <c r="F21" s="144">
        <v>1519</v>
      </c>
      <c r="G21" s="145">
        <v>1544</v>
      </c>
      <c r="H21" s="146">
        <v>111222333.4444</v>
      </c>
      <c r="I21" s="141" t="s">
        <v>476</v>
      </c>
      <c r="J21" s="137" t="s">
        <v>204</v>
      </c>
      <c r="K21" s="141">
        <v>152146</v>
      </c>
      <c r="L21" s="141">
        <v>1</v>
      </c>
      <c r="M21" s="141">
        <v>20240517</v>
      </c>
      <c r="N21" s="141"/>
      <c r="P21" s="141"/>
      <c r="Q21" s="140" t="s">
        <v>300</v>
      </c>
      <c r="R21" s="147" t="s">
        <v>205</v>
      </c>
      <c r="S21" s="141">
        <v>1186.2</v>
      </c>
      <c r="T21" s="142">
        <v>1185.95</v>
      </c>
      <c r="U21" s="148" t="s">
        <v>205</v>
      </c>
      <c r="V21" s="149" t="s">
        <v>205</v>
      </c>
      <c r="W21" s="142" t="s">
        <v>205</v>
      </c>
      <c r="X21" s="142" t="s">
        <v>206</v>
      </c>
    </row>
    <row r="22" spans="1:24" s="150" customFormat="1">
      <c r="A22" s="141">
        <v>1</v>
      </c>
      <c r="B22" s="142" t="s">
        <v>207</v>
      </c>
      <c r="C22" s="141">
        <v>1</v>
      </c>
      <c r="D22" s="143">
        <v>34</v>
      </c>
      <c r="E22" s="141" t="str">
        <f>RIGHT('FX_DEAL All'!E22,5)</f>
        <v>00102</v>
      </c>
      <c r="F22" s="144">
        <v>1544</v>
      </c>
      <c r="G22" s="145">
        <v>1104</v>
      </c>
      <c r="H22" s="146">
        <v>100000000.55</v>
      </c>
      <c r="I22" s="141" t="s">
        <v>476</v>
      </c>
      <c r="J22" s="137" t="s">
        <v>204</v>
      </c>
      <c r="K22" s="141">
        <v>145455</v>
      </c>
      <c r="L22" s="141">
        <v>1</v>
      </c>
      <c r="M22" s="141" t="s">
        <v>205</v>
      </c>
      <c r="N22" s="141">
        <v>20240507</v>
      </c>
      <c r="O22" s="141">
        <v>20240805</v>
      </c>
      <c r="P22" s="141"/>
      <c r="Q22" s="140" t="s">
        <v>303</v>
      </c>
      <c r="R22" s="147" t="s">
        <v>205</v>
      </c>
      <c r="S22" s="141">
        <v>1186.2</v>
      </c>
      <c r="T22" s="142">
        <v>1186.2</v>
      </c>
      <c r="U22" s="148" t="s">
        <v>205</v>
      </c>
      <c r="V22" s="149" t="s">
        <v>205</v>
      </c>
      <c r="W22" s="142" t="s">
        <v>205</v>
      </c>
      <c r="X22" s="142" t="s">
        <v>206</v>
      </c>
    </row>
    <row r="23" spans="1:24" s="150" customFormat="1">
      <c r="A23" s="141">
        <v>1</v>
      </c>
      <c r="B23" s="142" t="s">
        <v>207</v>
      </c>
      <c r="C23" s="141">
        <v>1</v>
      </c>
      <c r="D23" s="143">
        <v>22</v>
      </c>
      <c r="E23" s="141" t="str">
        <f>RIGHT('FX_DEAL All'!E23,5)</f>
        <v>00103</v>
      </c>
      <c r="F23" s="144">
        <v>1104</v>
      </c>
      <c r="G23" s="145">
        <v>1544</v>
      </c>
      <c r="H23" s="146">
        <v>1250000.22</v>
      </c>
      <c r="I23" s="141" t="s">
        <v>476</v>
      </c>
      <c r="J23" s="137" t="s">
        <v>204</v>
      </c>
      <c r="K23" s="141">
        <v>145610</v>
      </c>
      <c r="L23" s="141">
        <v>1</v>
      </c>
      <c r="M23" s="141">
        <v>20240405</v>
      </c>
      <c r="N23" s="141"/>
      <c r="P23" s="141"/>
      <c r="Q23" s="140" t="s">
        <v>298</v>
      </c>
      <c r="R23" s="147" t="s">
        <v>205</v>
      </c>
      <c r="S23" s="141">
        <v>1186.3</v>
      </c>
      <c r="T23" s="142">
        <v>1184</v>
      </c>
      <c r="U23" s="148" t="s">
        <v>205</v>
      </c>
      <c r="V23" s="149" t="s">
        <v>205</v>
      </c>
      <c r="W23" s="142" t="s">
        <v>205</v>
      </c>
      <c r="X23" s="142" t="s">
        <v>206</v>
      </c>
    </row>
    <row r="24" spans="1:24" s="150" customFormat="1">
      <c r="A24" s="141">
        <v>1</v>
      </c>
      <c r="B24" s="142" t="s">
        <v>207</v>
      </c>
      <c r="C24" s="141">
        <v>1</v>
      </c>
      <c r="D24" s="143">
        <v>22</v>
      </c>
      <c r="E24" s="141" t="str">
        <f>RIGHT('FX_DEAL All'!E24,5)</f>
        <v>00303</v>
      </c>
      <c r="F24" s="144">
        <v>1521</v>
      </c>
      <c r="G24" s="145">
        <v>1403</v>
      </c>
      <c r="H24" s="146">
        <v>50000000</v>
      </c>
      <c r="I24" s="141" t="s">
        <v>476</v>
      </c>
      <c r="J24" s="137" t="s">
        <v>204</v>
      </c>
      <c r="K24" s="141">
        <v>171509</v>
      </c>
      <c r="L24" s="141">
        <v>1</v>
      </c>
      <c r="M24" s="141">
        <v>20240411</v>
      </c>
      <c r="N24" s="141"/>
      <c r="P24" s="141"/>
      <c r="Q24" s="140" t="s">
        <v>301</v>
      </c>
      <c r="R24" s="147" t="s">
        <v>205</v>
      </c>
      <c r="S24" s="141">
        <v>1187.2</v>
      </c>
      <c r="T24" s="142">
        <v>1187.22</v>
      </c>
      <c r="U24" s="148" t="s">
        <v>205</v>
      </c>
      <c r="V24" s="149" t="s">
        <v>205</v>
      </c>
      <c r="W24" s="142" t="s">
        <v>205</v>
      </c>
      <c r="X24" s="142" t="s">
        <v>206</v>
      </c>
    </row>
    <row r="25" spans="1:24" s="150" customFormat="1">
      <c r="A25" s="141">
        <v>1</v>
      </c>
      <c r="B25" s="142" t="s">
        <v>207</v>
      </c>
      <c r="C25" s="141">
        <v>1</v>
      </c>
      <c r="D25" s="143">
        <v>22</v>
      </c>
      <c r="E25" s="141" t="str">
        <f>RIGHT('FX_DEAL All'!E25,5)</f>
        <v>01103</v>
      </c>
      <c r="F25" s="144">
        <v>1403</v>
      </c>
      <c r="G25" s="145">
        <v>1521</v>
      </c>
      <c r="H25" s="146">
        <v>5000000</v>
      </c>
      <c r="I25" s="141" t="s">
        <v>476</v>
      </c>
      <c r="J25" s="137" t="s">
        <v>204</v>
      </c>
      <c r="K25" s="141">
        <v>104023</v>
      </c>
      <c r="L25" s="141">
        <v>1</v>
      </c>
      <c r="M25" s="141">
        <v>20240415</v>
      </c>
      <c r="N25" s="141"/>
      <c r="P25" s="141"/>
      <c r="Q25" s="140" t="s">
        <v>300</v>
      </c>
      <c r="R25" s="147" t="s">
        <v>205</v>
      </c>
      <c r="S25" s="141">
        <v>1187.2</v>
      </c>
      <c r="T25" s="142">
        <v>1186.95</v>
      </c>
      <c r="U25" s="148" t="s">
        <v>205</v>
      </c>
      <c r="V25" s="149" t="s">
        <v>205</v>
      </c>
      <c r="W25" s="142" t="s">
        <v>205</v>
      </c>
      <c r="X25" s="142" t="s">
        <v>206</v>
      </c>
    </row>
    <row r="26" spans="1:24" s="171" customFormat="1">
      <c r="A26" s="160">
        <v>1</v>
      </c>
      <c r="B26" s="161" t="s">
        <v>207</v>
      </c>
      <c r="C26" s="160">
        <v>1</v>
      </c>
      <c r="D26" s="162">
        <v>35</v>
      </c>
      <c r="E26" s="160" t="s">
        <v>490</v>
      </c>
      <c r="F26" s="163">
        <v>1104</v>
      </c>
      <c r="G26" s="164">
        <v>1331</v>
      </c>
      <c r="H26" s="165">
        <v>23000000</v>
      </c>
      <c r="I26" s="160" t="s">
        <v>500</v>
      </c>
      <c r="J26" s="166" t="s">
        <v>499</v>
      </c>
      <c r="K26" s="160">
        <v>124425</v>
      </c>
      <c r="L26" s="160">
        <v>1</v>
      </c>
      <c r="M26" s="160"/>
      <c r="N26" s="160">
        <v>20240429</v>
      </c>
      <c r="O26" s="160">
        <v>20390429</v>
      </c>
      <c r="P26" s="160"/>
      <c r="Q26" s="167"/>
      <c r="R26" s="168">
        <v>1301.02</v>
      </c>
      <c r="S26" s="160"/>
      <c r="T26" s="161"/>
      <c r="U26" s="169"/>
      <c r="V26" s="170">
        <v>2.8852500000000001</v>
      </c>
      <c r="W26" s="161" t="s">
        <v>454</v>
      </c>
      <c r="X26" s="161">
        <v>0</v>
      </c>
    </row>
    <row r="27" spans="1:24" s="171" customFormat="1">
      <c r="A27" s="160">
        <v>1</v>
      </c>
      <c r="B27" s="161" t="s">
        <v>207</v>
      </c>
      <c r="C27" s="160">
        <v>1</v>
      </c>
      <c r="D27" s="162">
        <v>45</v>
      </c>
      <c r="E27" s="160" t="s">
        <v>491</v>
      </c>
      <c r="F27" s="163">
        <v>1331</v>
      </c>
      <c r="G27" s="164">
        <v>1104</v>
      </c>
      <c r="H27" s="165">
        <v>14528548.597995061</v>
      </c>
      <c r="I27" s="160" t="s">
        <v>204</v>
      </c>
      <c r="J27" s="160" t="s">
        <v>204</v>
      </c>
      <c r="K27" s="160">
        <v>131700</v>
      </c>
      <c r="L27" s="160">
        <v>1</v>
      </c>
      <c r="M27" s="160"/>
      <c r="N27" s="160">
        <v>20240425</v>
      </c>
      <c r="O27" s="160">
        <v>20270426</v>
      </c>
      <c r="P27" s="160"/>
      <c r="Q27" s="167"/>
      <c r="R27" s="168"/>
      <c r="S27" s="160"/>
      <c r="T27" s="161"/>
      <c r="U27" s="169"/>
      <c r="V27" s="170">
        <v>3.05</v>
      </c>
      <c r="W27" s="161" t="s">
        <v>458</v>
      </c>
      <c r="X27" s="161">
        <v>0</v>
      </c>
    </row>
    <row r="28" spans="1:24" s="171" customFormat="1">
      <c r="A28" s="160">
        <v>1</v>
      </c>
      <c r="B28" s="161" t="s">
        <v>207</v>
      </c>
      <c r="C28" s="160">
        <v>1</v>
      </c>
      <c r="D28" s="162">
        <v>41</v>
      </c>
      <c r="E28" s="160" t="s">
        <v>492</v>
      </c>
      <c r="F28" s="163">
        <v>1403</v>
      </c>
      <c r="G28" s="164">
        <v>1544</v>
      </c>
      <c r="H28" s="165">
        <v>36321371.494987652</v>
      </c>
      <c r="I28" s="160" t="s">
        <v>204</v>
      </c>
      <c r="J28" s="160" t="s">
        <v>204</v>
      </c>
      <c r="K28" s="160">
        <v>92744</v>
      </c>
      <c r="L28" s="160">
        <v>1</v>
      </c>
      <c r="M28" s="160"/>
      <c r="N28" s="160">
        <v>20240426</v>
      </c>
      <c r="O28" s="160">
        <v>20270426</v>
      </c>
      <c r="P28" s="160"/>
      <c r="Q28" s="167"/>
      <c r="R28" s="168"/>
      <c r="S28" s="160"/>
      <c r="T28" s="161"/>
      <c r="U28" s="169"/>
      <c r="V28" s="170">
        <v>3.53</v>
      </c>
      <c r="W28" s="161" t="s">
        <v>458</v>
      </c>
      <c r="X28" s="161">
        <v>0</v>
      </c>
    </row>
    <row r="29" spans="1:24" s="171" customFormat="1">
      <c r="A29" s="160">
        <v>1</v>
      </c>
      <c r="B29" s="161" t="s">
        <v>207</v>
      </c>
      <c r="C29" s="160">
        <v>1</v>
      </c>
      <c r="D29" s="162">
        <v>42</v>
      </c>
      <c r="E29" s="160" t="s">
        <v>493</v>
      </c>
      <c r="F29" s="163">
        <v>1544</v>
      </c>
      <c r="G29" s="164">
        <v>1403</v>
      </c>
      <c r="H29" s="165">
        <v>20000000</v>
      </c>
      <c r="I29" s="160" t="s">
        <v>203</v>
      </c>
      <c r="J29" s="160" t="s">
        <v>203</v>
      </c>
      <c r="K29" s="160">
        <v>92708</v>
      </c>
      <c r="L29" s="160">
        <v>1</v>
      </c>
      <c r="M29" s="160"/>
      <c r="N29" s="160">
        <v>20240426</v>
      </c>
      <c r="O29" s="160">
        <v>20270426</v>
      </c>
      <c r="P29" s="160"/>
      <c r="Q29" s="167"/>
      <c r="R29" s="168"/>
      <c r="S29" s="160"/>
      <c r="T29" s="161"/>
      <c r="U29" s="169"/>
      <c r="V29" s="170">
        <v>3.53</v>
      </c>
      <c r="W29" s="161" t="s">
        <v>501</v>
      </c>
      <c r="X29" s="161">
        <v>0</v>
      </c>
    </row>
    <row r="30" spans="1:24" s="171" customFormat="1">
      <c r="A30" s="160">
        <v>1</v>
      </c>
      <c r="B30" s="161" t="s">
        <v>207</v>
      </c>
      <c r="C30" s="160">
        <v>1</v>
      </c>
      <c r="D30" s="162">
        <v>36</v>
      </c>
      <c r="E30" s="160" t="s">
        <v>494</v>
      </c>
      <c r="F30" s="163">
        <v>1521</v>
      </c>
      <c r="G30" s="164">
        <v>1403</v>
      </c>
      <c r="H30" s="165">
        <v>10000000</v>
      </c>
      <c r="I30" s="160" t="s">
        <v>500</v>
      </c>
      <c r="J30" s="166" t="s">
        <v>499</v>
      </c>
      <c r="K30" s="160">
        <v>122211</v>
      </c>
      <c r="L30" s="160">
        <v>1</v>
      </c>
      <c r="M30" s="160"/>
      <c r="N30" s="160">
        <v>20240429</v>
      </c>
      <c r="O30" s="160">
        <v>20270429</v>
      </c>
      <c r="P30" s="160"/>
      <c r="Q30" s="167"/>
      <c r="R30" s="168">
        <v>1387</v>
      </c>
      <c r="S30" s="160"/>
      <c r="T30" s="161"/>
      <c r="U30" s="169"/>
      <c r="V30" s="170">
        <v>2.78</v>
      </c>
      <c r="W30" s="161" t="s">
        <v>502</v>
      </c>
      <c r="X30" s="161">
        <v>0</v>
      </c>
    </row>
    <row r="31" spans="1:24" s="171" customFormat="1">
      <c r="A31" s="160">
        <v>1</v>
      </c>
      <c r="B31" s="161" t="s">
        <v>207</v>
      </c>
      <c r="C31" s="160">
        <v>1</v>
      </c>
      <c r="D31" s="162">
        <v>45</v>
      </c>
      <c r="E31" s="160" t="s">
        <v>495</v>
      </c>
      <c r="F31" s="163">
        <v>1403</v>
      </c>
      <c r="G31" s="164">
        <v>1521</v>
      </c>
      <c r="H31" s="165">
        <v>50000000</v>
      </c>
      <c r="I31" s="160" t="s">
        <v>203</v>
      </c>
      <c r="J31" s="160" t="s">
        <v>203</v>
      </c>
      <c r="K31" s="160">
        <v>133003</v>
      </c>
      <c r="L31" s="160">
        <v>1</v>
      </c>
      <c r="M31" s="160"/>
      <c r="N31" s="160">
        <v>20240425</v>
      </c>
      <c r="O31" s="160">
        <v>20270426</v>
      </c>
      <c r="P31" s="160"/>
      <c r="Q31" s="167"/>
      <c r="R31" s="168"/>
      <c r="S31" s="160"/>
      <c r="T31" s="161"/>
      <c r="U31" s="169"/>
      <c r="V31" s="170">
        <v>3.05</v>
      </c>
      <c r="W31" s="161" t="s">
        <v>501</v>
      </c>
      <c r="X31" s="161">
        <v>0</v>
      </c>
    </row>
    <row r="32" spans="1:24" s="171" customFormat="1">
      <c r="A32" s="160">
        <v>1</v>
      </c>
      <c r="B32" s="161" t="s">
        <v>207</v>
      </c>
      <c r="C32" s="160">
        <v>1</v>
      </c>
      <c r="D32" s="162">
        <v>41</v>
      </c>
      <c r="E32" s="160" t="s">
        <v>496</v>
      </c>
      <c r="F32" s="163">
        <v>1188</v>
      </c>
      <c r="G32" s="164">
        <v>1519</v>
      </c>
      <c r="H32" s="165">
        <v>10896411.448496295</v>
      </c>
      <c r="I32" s="160" t="s">
        <v>204</v>
      </c>
      <c r="J32" s="160" t="s">
        <v>204</v>
      </c>
      <c r="K32" s="160">
        <v>125502</v>
      </c>
      <c r="L32" s="160">
        <v>1</v>
      </c>
      <c r="M32" s="160"/>
      <c r="N32" s="160">
        <v>20240426</v>
      </c>
      <c r="O32" s="160">
        <v>20360428</v>
      </c>
      <c r="P32" s="160"/>
      <c r="Q32" s="167"/>
      <c r="R32" s="168"/>
      <c r="S32" s="160"/>
      <c r="T32" s="161"/>
      <c r="U32" s="169"/>
      <c r="V32" s="170">
        <v>2.9874999999999998</v>
      </c>
      <c r="W32" s="161" t="s">
        <v>458</v>
      </c>
      <c r="X32" s="161">
        <v>0</v>
      </c>
    </row>
    <row r="33" spans="1:24" s="171" customFormat="1">
      <c r="A33" s="160">
        <v>1</v>
      </c>
      <c r="B33" s="161" t="s">
        <v>207</v>
      </c>
      <c r="C33" s="160">
        <v>1</v>
      </c>
      <c r="D33" s="162">
        <v>44</v>
      </c>
      <c r="E33" s="160" t="s">
        <v>497</v>
      </c>
      <c r="F33" s="163">
        <v>1519</v>
      </c>
      <c r="G33" s="164">
        <v>1188</v>
      </c>
      <c r="H33" s="165">
        <v>14528548.597995061</v>
      </c>
      <c r="I33" s="160" t="s">
        <v>204</v>
      </c>
      <c r="J33" s="160" t="s">
        <v>204</v>
      </c>
      <c r="K33" s="160">
        <v>105001</v>
      </c>
      <c r="L33" s="160">
        <v>1</v>
      </c>
      <c r="M33" s="160"/>
      <c r="N33" s="160"/>
      <c r="O33" s="160"/>
      <c r="P33" s="160">
        <v>20270426</v>
      </c>
      <c r="Q33" s="167"/>
      <c r="R33" s="168"/>
      <c r="S33" s="160"/>
      <c r="T33" s="161"/>
      <c r="U33" s="169"/>
      <c r="V33" s="170">
        <v>2.9</v>
      </c>
      <c r="W33" s="161"/>
      <c r="X33" s="161"/>
    </row>
    <row r="34" spans="1:24" s="171" customFormat="1">
      <c r="A34" s="160">
        <v>1</v>
      </c>
      <c r="B34" s="161" t="s">
        <v>207</v>
      </c>
      <c r="C34" s="160">
        <v>1</v>
      </c>
      <c r="D34" s="162">
        <v>44</v>
      </c>
      <c r="E34" s="160" t="s">
        <v>498</v>
      </c>
      <c r="F34" s="163">
        <v>1188</v>
      </c>
      <c r="G34" s="164">
        <v>1519</v>
      </c>
      <c r="H34" s="165">
        <v>35000000</v>
      </c>
      <c r="I34" s="160" t="s">
        <v>203</v>
      </c>
      <c r="J34" s="160" t="s">
        <v>203</v>
      </c>
      <c r="K34" s="160">
        <v>105033</v>
      </c>
      <c r="L34" s="160">
        <v>1</v>
      </c>
      <c r="M34" s="160"/>
      <c r="N34" s="160"/>
      <c r="O34" s="160"/>
      <c r="P34" s="160">
        <v>20270426</v>
      </c>
      <c r="Q34" s="167"/>
      <c r="R34" s="168"/>
      <c r="S34" s="160"/>
      <c r="T34" s="161"/>
      <c r="U34" s="169"/>
      <c r="V34" s="170">
        <v>2.9</v>
      </c>
      <c r="W34" s="161"/>
      <c r="X34" s="161"/>
    </row>
    <row r="35" spans="1:24">
      <c r="A35" s="66"/>
      <c r="B35" s="73"/>
      <c r="C35" s="66"/>
      <c r="D35" s="74"/>
      <c r="E35" s="66"/>
      <c r="F35" s="76"/>
      <c r="G35" s="71"/>
      <c r="H35" s="69"/>
      <c r="I35" s="66"/>
      <c r="J35" s="78"/>
      <c r="K35" s="66"/>
      <c r="L35" s="66"/>
      <c r="M35" s="66"/>
      <c r="N35" s="66"/>
      <c r="O35" s="66"/>
      <c r="P35" s="66"/>
      <c r="Q35" s="68"/>
      <c r="R35" s="72"/>
      <c r="S35" s="66"/>
      <c r="T35" s="73"/>
      <c r="U35" s="70"/>
      <c r="V35" s="75"/>
      <c r="W35" s="73"/>
      <c r="X35" s="73"/>
    </row>
    <row r="36" spans="1:24">
      <c r="A36" s="66"/>
      <c r="B36" s="73"/>
      <c r="C36" s="66"/>
      <c r="D36" s="74"/>
      <c r="E36" s="66"/>
      <c r="F36" s="76"/>
      <c r="G36" s="71"/>
      <c r="H36" s="69"/>
      <c r="I36" s="66"/>
      <c r="J36" s="78"/>
      <c r="K36" s="66"/>
      <c r="L36" s="66"/>
      <c r="M36" s="66"/>
      <c r="N36" s="66"/>
      <c r="O36" s="66"/>
      <c r="P36" s="66"/>
      <c r="Q36" s="68"/>
      <c r="R36" s="72"/>
      <c r="S36" s="66"/>
      <c r="T36" s="73"/>
      <c r="U36" s="70"/>
      <c r="V36" s="75"/>
      <c r="W36" s="73"/>
      <c r="X36" s="73"/>
    </row>
    <row r="37" spans="1:24">
      <c r="A37" s="66"/>
      <c r="B37" s="73"/>
      <c r="C37" s="66"/>
      <c r="D37" s="74"/>
      <c r="E37" s="66"/>
      <c r="F37" s="76"/>
      <c r="G37" s="71"/>
      <c r="H37" s="69"/>
      <c r="I37" s="66"/>
      <c r="J37" s="78"/>
      <c r="K37" s="66"/>
      <c r="L37" s="66"/>
      <c r="M37" s="66"/>
      <c r="N37" s="66"/>
      <c r="O37" s="66"/>
      <c r="P37" s="66"/>
      <c r="Q37" s="68"/>
      <c r="R37" s="72"/>
      <c r="S37" s="66"/>
      <c r="T37" s="73"/>
      <c r="U37" s="70"/>
      <c r="V37" s="75"/>
      <c r="W37" s="73"/>
      <c r="X37" s="73"/>
    </row>
    <row r="38" spans="1:24">
      <c r="A38" s="66"/>
      <c r="B38" s="73"/>
      <c r="C38" s="66"/>
      <c r="D38" s="74"/>
      <c r="E38" s="66"/>
      <c r="F38" s="76"/>
      <c r="G38" s="71"/>
      <c r="H38" s="69"/>
      <c r="I38" s="66"/>
      <c r="J38" s="78"/>
      <c r="K38" s="66"/>
      <c r="L38" s="66"/>
      <c r="M38" s="66"/>
      <c r="N38" s="66"/>
      <c r="O38" s="66"/>
      <c r="P38" s="66"/>
      <c r="Q38" s="68"/>
      <c r="R38" s="72"/>
      <c r="S38" s="66"/>
      <c r="T38" s="73"/>
      <c r="U38" s="70"/>
      <c r="V38" s="75"/>
      <c r="W38" s="73"/>
      <c r="X38" s="73"/>
    </row>
    <row r="39" spans="1:24">
      <c r="A39" s="66"/>
      <c r="B39" s="73"/>
      <c r="C39" s="66"/>
      <c r="D39" s="74"/>
      <c r="E39" s="66"/>
      <c r="F39" s="76"/>
      <c r="G39" s="71"/>
      <c r="H39" s="69"/>
      <c r="I39" s="66"/>
      <c r="J39" s="78"/>
      <c r="K39" s="66"/>
      <c r="L39" s="66"/>
      <c r="M39" s="66"/>
      <c r="N39" s="66"/>
      <c r="O39" s="66"/>
      <c r="P39" s="66"/>
      <c r="Q39" s="68"/>
      <c r="R39" s="72"/>
      <c r="S39" s="66"/>
      <c r="T39" s="73"/>
      <c r="U39" s="70"/>
      <c r="V39" s="75"/>
      <c r="W39" s="73"/>
      <c r="X39" s="73"/>
    </row>
    <row r="40" spans="1:24">
      <c r="A40" s="66"/>
      <c r="B40" s="73"/>
      <c r="C40" s="66"/>
      <c r="D40" s="74"/>
      <c r="E40" s="66"/>
      <c r="F40" s="76"/>
      <c r="G40" s="71"/>
      <c r="H40" s="69"/>
      <c r="I40" s="66"/>
      <c r="J40" s="78"/>
      <c r="K40" s="66"/>
      <c r="L40" s="66"/>
      <c r="M40" s="66"/>
      <c r="N40" s="66"/>
      <c r="O40" s="66"/>
      <c r="P40" s="66"/>
      <c r="Q40" s="68"/>
      <c r="R40" s="72"/>
      <c r="S40" s="66"/>
      <c r="T40" s="73"/>
      <c r="U40" s="70"/>
      <c r="V40" s="75"/>
      <c r="W40" s="73"/>
      <c r="X40" s="73"/>
    </row>
    <row r="41" spans="1:24">
      <c r="A41" s="66"/>
      <c r="B41" s="73"/>
      <c r="C41" s="66"/>
      <c r="D41" s="74"/>
      <c r="E41" s="66"/>
      <c r="F41" s="76"/>
      <c r="G41" s="71"/>
      <c r="H41" s="69"/>
      <c r="I41" s="66"/>
      <c r="J41" s="78"/>
      <c r="K41" s="66"/>
      <c r="L41" s="66"/>
      <c r="M41" s="66"/>
      <c r="N41" s="66"/>
      <c r="O41" s="66"/>
      <c r="P41" s="66"/>
      <c r="Q41" s="68"/>
      <c r="R41" s="72"/>
      <c r="S41" s="66"/>
      <c r="T41" s="73"/>
      <c r="U41" s="70"/>
      <c r="V41" s="75"/>
      <c r="W41" s="73"/>
      <c r="X41" s="73"/>
    </row>
    <row r="42" spans="1:24">
      <c r="B42" s="46"/>
      <c r="D42" s="47"/>
      <c r="F42" s="48"/>
      <c r="G42" s="49"/>
      <c r="H42" s="50"/>
      <c r="J42" s="51"/>
      <c r="Q42" s="52"/>
      <c r="T42" s="46"/>
      <c r="U42" s="54"/>
      <c r="W42" s="46"/>
      <c r="X42" s="46"/>
    </row>
    <row r="43" spans="1:24">
      <c r="B43" s="46"/>
      <c r="D43" s="47"/>
      <c r="F43" s="48"/>
      <c r="G43" s="49"/>
      <c r="H43" s="50"/>
      <c r="J43" s="51"/>
      <c r="Q43" s="52"/>
      <c r="T43" s="46"/>
      <c r="U43" s="54"/>
      <c r="W43" s="46"/>
      <c r="X43" s="46"/>
    </row>
    <row r="44" spans="1:24">
      <c r="B44" s="46"/>
      <c r="D44" s="47"/>
      <c r="F44" s="48"/>
      <c r="G44" s="49"/>
      <c r="H44" s="50"/>
      <c r="J44" s="51"/>
      <c r="Q44" s="52"/>
      <c r="T44" s="46"/>
      <c r="U44" s="54"/>
      <c r="W44" s="46"/>
      <c r="X44" s="46"/>
    </row>
    <row r="45" spans="1:24">
      <c r="B45" s="46"/>
      <c r="D45" s="47"/>
      <c r="F45" s="48"/>
      <c r="G45" s="49"/>
      <c r="H45" s="50"/>
      <c r="J45" s="51"/>
      <c r="Q45" s="52"/>
      <c r="T45" s="46"/>
      <c r="U45" s="54"/>
      <c r="W45" s="46"/>
      <c r="X45" s="46"/>
    </row>
    <row r="46" spans="1:24">
      <c r="B46" s="46"/>
      <c r="D46" s="47"/>
      <c r="F46" s="48"/>
      <c r="G46" s="49"/>
      <c r="H46" s="50"/>
      <c r="J46" s="51"/>
      <c r="Q46" s="52"/>
      <c r="T46" s="46"/>
      <c r="U46" s="54"/>
      <c r="W46" s="46"/>
      <c r="X46" s="46"/>
    </row>
    <row r="47" spans="1:24">
      <c r="B47" s="46"/>
      <c r="D47" s="47"/>
      <c r="F47" s="48"/>
      <c r="G47" s="49"/>
      <c r="H47" s="50"/>
      <c r="J47" s="51"/>
      <c r="Q47" s="52"/>
      <c r="T47" s="46"/>
      <c r="U47" s="54"/>
      <c r="W47" s="46"/>
      <c r="X47" s="46"/>
    </row>
    <row r="48" spans="1:24">
      <c r="B48" s="46"/>
      <c r="D48" s="47"/>
      <c r="F48" s="48"/>
      <c r="G48" s="49"/>
      <c r="H48" s="50"/>
      <c r="J48" s="51"/>
      <c r="Q48" s="52"/>
      <c r="T48" s="46"/>
      <c r="U48" s="54"/>
      <c r="W48" s="46"/>
      <c r="X48" s="46"/>
    </row>
    <row r="49" spans="2:24">
      <c r="B49" s="46"/>
      <c r="D49" s="47"/>
      <c r="F49" s="48"/>
      <c r="G49" s="49"/>
      <c r="H49" s="50"/>
      <c r="J49" s="51"/>
      <c r="Q49" s="52"/>
      <c r="T49" s="46"/>
      <c r="U49" s="54"/>
      <c r="W49" s="46"/>
      <c r="X49" s="46"/>
    </row>
    <row r="50" spans="2:24">
      <c r="B50" s="46"/>
      <c r="D50" s="47"/>
      <c r="F50" s="48"/>
      <c r="G50" s="49"/>
      <c r="H50" s="50"/>
      <c r="J50" s="51"/>
      <c r="Q50" s="52"/>
      <c r="T50" s="46"/>
      <c r="U50" s="54"/>
      <c r="W50" s="46"/>
      <c r="X50" s="46"/>
    </row>
    <row r="51" spans="2:24">
      <c r="B51" s="46"/>
      <c r="D51" s="47"/>
      <c r="F51" s="48"/>
      <c r="G51" s="49"/>
      <c r="H51" s="50"/>
      <c r="J51" s="51"/>
      <c r="Q51" s="52"/>
      <c r="T51" s="46"/>
      <c r="U51" s="54"/>
      <c r="W51" s="46"/>
      <c r="X51" s="46"/>
    </row>
    <row r="52" spans="2:24">
      <c r="B52" s="46"/>
      <c r="D52" s="47"/>
      <c r="F52" s="48"/>
      <c r="G52" s="49"/>
      <c r="H52" s="50"/>
      <c r="J52" s="51"/>
      <c r="Q52" s="52"/>
      <c r="T52" s="46"/>
      <c r="U52" s="54"/>
      <c r="W52" s="46"/>
      <c r="X52" s="46"/>
    </row>
    <row r="53" spans="2:24">
      <c r="B53" s="46"/>
      <c r="D53" s="47"/>
      <c r="F53" s="48"/>
      <c r="G53" s="49"/>
      <c r="H53" s="50"/>
      <c r="J53" s="51"/>
      <c r="Q53" s="52"/>
      <c r="T53" s="46"/>
      <c r="U53" s="54"/>
      <c r="W53" s="46"/>
      <c r="X53" s="46"/>
    </row>
    <row r="54" spans="2:24">
      <c r="B54" s="46"/>
      <c r="D54" s="47"/>
      <c r="F54" s="48"/>
      <c r="G54" s="49"/>
      <c r="H54" s="50"/>
      <c r="J54" s="51"/>
      <c r="Q54" s="52"/>
      <c r="T54" s="46"/>
      <c r="U54" s="54"/>
      <c r="W54" s="46"/>
      <c r="X54" s="46"/>
    </row>
    <row r="55" spans="2:24">
      <c r="B55" s="46"/>
      <c r="D55" s="47"/>
      <c r="F55" s="48"/>
      <c r="G55" s="49"/>
      <c r="H55" s="50"/>
      <c r="J55" s="51"/>
      <c r="Q55" s="52"/>
      <c r="T55" s="46"/>
      <c r="U55" s="54"/>
      <c r="W55" s="46"/>
      <c r="X55" s="46"/>
    </row>
    <row r="56" spans="2:24">
      <c r="B56" s="46"/>
      <c r="D56" s="47"/>
      <c r="F56" s="48"/>
      <c r="G56" s="49"/>
      <c r="H56" s="50"/>
      <c r="J56" s="51"/>
      <c r="Q56" s="52"/>
      <c r="T56" s="46"/>
      <c r="U56" s="54"/>
      <c r="W56" s="46"/>
      <c r="X56" s="46"/>
    </row>
    <row r="57" spans="2:24">
      <c r="B57" s="46"/>
      <c r="D57" s="47"/>
      <c r="F57" s="48"/>
      <c r="G57" s="49"/>
      <c r="H57" s="50"/>
      <c r="J57" s="51"/>
      <c r="Q57" s="52"/>
      <c r="T57" s="46"/>
      <c r="U57" s="54"/>
      <c r="W57" s="46"/>
      <c r="X57" s="46"/>
    </row>
    <row r="58" spans="2:24">
      <c r="B58" s="46"/>
      <c r="D58" s="47"/>
      <c r="F58" s="48"/>
      <c r="G58" s="49"/>
      <c r="H58" s="50"/>
      <c r="J58" s="51"/>
      <c r="Q58" s="52"/>
      <c r="T58" s="46"/>
      <c r="U58" s="54"/>
      <c r="W58" s="46"/>
      <c r="X58" s="46"/>
    </row>
    <row r="59" spans="2:24">
      <c r="B59" s="46"/>
      <c r="D59" s="47"/>
      <c r="F59" s="48"/>
      <c r="G59" s="49"/>
      <c r="H59" s="50"/>
      <c r="J59" s="51"/>
      <c r="Q59" s="52"/>
      <c r="T59" s="46"/>
      <c r="U59" s="54"/>
      <c r="W59" s="46"/>
      <c r="X59" s="46"/>
    </row>
    <row r="60" spans="2:24">
      <c r="B60" s="46"/>
      <c r="D60" s="47"/>
      <c r="F60" s="48"/>
      <c r="G60" s="49"/>
      <c r="H60" s="50"/>
      <c r="J60" s="51"/>
      <c r="Q60" s="52"/>
      <c r="T60" s="46"/>
      <c r="U60" s="54"/>
      <c r="W60" s="46"/>
      <c r="X60" s="46"/>
    </row>
    <row r="61" spans="2:24">
      <c r="B61" s="46"/>
      <c r="D61" s="47"/>
      <c r="F61" s="48"/>
      <c r="G61" s="49"/>
      <c r="H61" s="50"/>
      <c r="J61" s="51"/>
      <c r="Q61" s="52"/>
      <c r="T61" s="46"/>
      <c r="U61" s="54"/>
      <c r="W61" s="46"/>
      <c r="X61" s="46"/>
    </row>
    <row r="62" spans="2:24">
      <c r="B62" s="46"/>
      <c r="D62" s="47"/>
      <c r="F62" s="48"/>
      <c r="G62" s="49"/>
      <c r="H62" s="50"/>
      <c r="J62" s="51"/>
      <c r="Q62" s="52"/>
      <c r="T62" s="46"/>
      <c r="U62" s="54"/>
      <c r="W62" s="46"/>
      <c r="X62" s="46"/>
    </row>
    <row r="63" spans="2:24">
      <c r="B63" s="46"/>
      <c r="D63" s="47"/>
      <c r="F63" s="48"/>
      <c r="G63" s="49"/>
      <c r="H63" s="50"/>
      <c r="J63" s="51"/>
      <c r="Q63" s="52"/>
      <c r="T63" s="46"/>
      <c r="U63" s="54"/>
      <c r="W63" s="46"/>
      <c r="X63" s="46"/>
    </row>
    <row r="64" spans="2:24">
      <c r="B64" s="46"/>
      <c r="D64" s="47"/>
      <c r="F64" s="48"/>
      <c r="G64" s="49"/>
      <c r="H64" s="50"/>
      <c r="J64" s="51"/>
      <c r="Q64" s="52"/>
      <c r="T64" s="46"/>
      <c r="U64" s="54"/>
      <c r="W64" s="46"/>
      <c r="X64" s="46"/>
    </row>
    <row r="65" spans="2:24">
      <c r="B65" s="46"/>
      <c r="D65" s="47"/>
      <c r="F65" s="48"/>
      <c r="G65" s="49"/>
      <c r="H65" s="50"/>
      <c r="J65" s="51"/>
      <c r="Q65" s="52"/>
      <c r="T65" s="46"/>
      <c r="U65" s="54"/>
      <c r="W65" s="46"/>
      <c r="X65" s="46"/>
    </row>
    <row r="66" spans="2:24">
      <c r="B66" s="46"/>
      <c r="D66" s="47"/>
      <c r="F66" s="48"/>
      <c r="G66" s="49"/>
      <c r="H66" s="50"/>
      <c r="J66" s="51"/>
      <c r="Q66" s="52"/>
      <c r="T66" s="46"/>
      <c r="U66" s="54"/>
      <c r="W66" s="46"/>
      <c r="X66" s="46"/>
    </row>
    <row r="67" spans="2:24">
      <c r="B67" s="46"/>
      <c r="D67" s="47"/>
      <c r="F67" s="48"/>
      <c r="G67" s="49"/>
      <c r="H67" s="50"/>
      <c r="J67" s="51"/>
      <c r="Q67" s="52"/>
      <c r="T67" s="46"/>
      <c r="U67" s="54"/>
      <c r="W67" s="46"/>
      <c r="X67" s="46"/>
    </row>
    <row r="68" spans="2:24">
      <c r="B68" s="46"/>
      <c r="D68" s="47"/>
      <c r="F68" s="48"/>
      <c r="G68" s="49"/>
      <c r="H68" s="50"/>
      <c r="J68" s="51"/>
      <c r="Q68" s="52"/>
      <c r="T68" s="46"/>
      <c r="U68" s="54"/>
      <c r="W68" s="46"/>
      <c r="X68" s="46"/>
    </row>
    <row r="69" spans="2:24">
      <c r="B69" s="46"/>
      <c r="D69" s="47"/>
      <c r="F69" s="48"/>
      <c r="G69" s="49"/>
      <c r="H69" s="50"/>
      <c r="J69" s="51"/>
      <c r="Q69" s="52"/>
      <c r="T69" s="46"/>
      <c r="U69" s="54"/>
      <c r="W69" s="46"/>
      <c r="X69" s="46"/>
    </row>
    <row r="70" spans="2:24">
      <c r="B70" s="46"/>
      <c r="D70" s="47"/>
      <c r="F70" s="48"/>
      <c r="G70" s="49"/>
      <c r="H70" s="50"/>
      <c r="J70" s="51"/>
      <c r="Q70" s="52"/>
      <c r="T70" s="46"/>
      <c r="U70" s="54"/>
      <c r="W70" s="46"/>
      <c r="X70" s="46"/>
    </row>
    <row r="71" spans="2:24">
      <c r="B71" s="46"/>
      <c r="D71" s="47"/>
      <c r="F71" s="48"/>
      <c r="G71" s="49"/>
      <c r="H71" s="50"/>
      <c r="J71" s="51"/>
      <c r="Q71" s="52"/>
      <c r="T71" s="46"/>
      <c r="U71" s="54"/>
      <c r="W71" s="46"/>
      <c r="X71" s="46"/>
    </row>
    <row r="72" spans="2:24">
      <c r="B72" s="46"/>
      <c r="D72" s="47"/>
      <c r="F72" s="48"/>
      <c r="G72" s="49"/>
      <c r="H72" s="50"/>
      <c r="J72" s="51"/>
      <c r="Q72" s="52"/>
      <c r="T72" s="46"/>
      <c r="U72" s="54"/>
      <c r="W72" s="46"/>
      <c r="X72" s="46"/>
    </row>
    <row r="73" spans="2:24">
      <c r="B73" s="46"/>
      <c r="D73" s="47"/>
      <c r="F73" s="48"/>
      <c r="G73" s="49"/>
      <c r="H73" s="50"/>
      <c r="J73" s="51"/>
      <c r="Q73" s="52"/>
      <c r="T73" s="46"/>
      <c r="U73" s="54"/>
      <c r="W73" s="46"/>
      <c r="X73" s="46"/>
    </row>
    <row r="74" spans="2:24">
      <c r="B74" s="46"/>
      <c r="D74" s="47"/>
      <c r="F74" s="48"/>
      <c r="G74" s="49"/>
      <c r="H74" s="50"/>
      <c r="J74" s="51"/>
      <c r="Q74" s="52"/>
      <c r="T74" s="46"/>
      <c r="U74" s="54"/>
      <c r="W74" s="46"/>
      <c r="X74" s="46"/>
    </row>
    <row r="75" spans="2:24">
      <c r="B75" s="46"/>
      <c r="D75" s="47"/>
      <c r="F75" s="48"/>
      <c r="G75" s="49"/>
      <c r="H75" s="50"/>
      <c r="J75" s="51"/>
      <c r="Q75" s="52"/>
      <c r="T75" s="46"/>
      <c r="U75" s="54"/>
      <c r="W75" s="46"/>
      <c r="X75" s="46"/>
    </row>
    <row r="76" spans="2:24">
      <c r="B76" s="46"/>
      <c r="D76" s="47"/>
      <c r="F76" s="48"/>
      <c r="G76" s="49"/>
      <c r="H76" s="50"/>
      <c r="J76" s="51"/>
      <c r="Q76" s="52"/>
      <c r="T76" s="46"/>
      <c r="U76" s="54"/>
      <c r="W76" s="46"/>
      <c r="X76" s="46"/>
    </row>
    <row r="77" spans="2:24">
      <c r="B77" s="46"/>
      <c r="D77" s="47"/>
      <c r="F77" s="48"/>
      <c r="G77" s="49"/>
      <c r="H77" s="50"/>
      <c r="J77" s="51"/>
      <c r="Q77" s="52"/>
      <c r="T77" s="46"/>
      <c r="U77" s="54"/>
      <c r="W77" s="46"/>
      <c r="X77" s="46"/>
    </row>
    <row r="78" spans="2:24">
      <c r="B78" s="46"/>
      <c r="D78" s="47"/>
      <c r="F78" s="48"/>
      <c r="G78" s="49"/>
      <c r="H78" s="50"/>
      <c r="J78" s="51"/>
      <c r="Q78" s="52"/>
      <c r="T78" s="46"/>
      <c r="U78" s="54"/>
      <c r="W78" s="46"/>
      <c r="X78" s="46"/>
    </row>
    <row r="79" spans="2:24">
      <c r="B79" s="46"/>
      <c r="D79" s="47"/>
      <c r="F79" s="48"/>
      <c r="G79" s="49"/>
      <c r="H79" s="50"/>
      <c r="J79" s="51"/>
      <c r="Q79" s="52"/>
      <c r="T79" s="46"/>
      <c r="U79" s="54"/>
      <c r="W79" s="46"/>
      <c r="X79" s="46"/>
    </row>
    <row r="80" spans="2:24">
      <c r="B80" s="46"/>
      <c r="D80" s="47"/>
      <c r="F80" s="48"/>
      <c r="G80" s="49"/>
      <c r="H80" s="50"/>
      <c r="J80" s="51"/>
      <c r="Q80" s="52"/>
      <c r="T80" s="46"/>
      <c r="U80" s="54"/>
      <c r="W80" s="46"/>
      <c r="X80" s="46"/>
    </row>
    <row r="81" spans="2:24">
      <c r="B81" s="46"/>
      <c r="D81" s="47"/>
      <c r="F81" s="48"/>
      <c r="G81" s="49"/>
      <c r="H81" s="50"/>
      <c r="J81" s="51"/>
      <c r="Q81" s="52"/>
      <c r="T81" s="46"/>
      <c r="U81" s="54"/>
      <c r="W81" s="46"/>
      <c r="X81" s="46"/>
    </row>
    <row r="82" spans="2:24">
      <c r="B82" s="46"/>
      <c r="D82" s="47"/>
      <c r="F82" s="48"/>
      <c r="G82" s="49"/>
      <c r="H82" s="50"/>
      <c r="J82" s="51"/>
      <c r="Q82" s="52"/>
      <c r="T82" s="46"/>
      <c r="U82" s="54"/>
      <c r="W82" s="46"/>
      <c r="X82" s="46"/>
    </row>
    <row r="83" spans="2:24">
      <c r="B83" s="46"/>
      <c r="D83" s="47"/>
      <c r="F83" s="48"/>
      <c r="G83" s="49"/>
      <c r="H83" s="50"/>
      <c r="J83" s="51"/>
      <c r="Q83" s="52"/>
      <c r="T83" s="46"/>
      <c r="U83" s="54"/>
      <c r="W83" s="46"/>
      <c r="X83" s="46"/>
    </row>
    <row r="84" spans="2:24">
      <c r="B84" s="46"/>
      <c r="D84" s="47"/>
      <c r="F84" s="48"/>
      <c r="G84" s="49"/>
      <c r="H84" s="50"/>
      <c r="J84" s="51"/>
      <c r="Q84" s="52"/>
      <c r="T84" s="46"/>
      <c r="U84" s="54"/>
      <c r="W84" s="46"/>
      <c r="X84" s="46"/>
    </row>
    <row r="85" spans="2:24">
      <c r="B85" s="46"/>
      <c r="D85" s="47"/>
      <c r="F85" s="48"/>
      <c r="G85" s="49"/>
      <c r="H85" s="50"/>
      <c r="J85" s="51"/>
      <c r="Q85" s="52"/>
      <c r="T85" s="46"/>
      <c r="U85" s="54"/>
      <c r="W85" s="46"/>
      <c r="X85" s="46"/>
    </row>
    <row r="86" spans="2:24">
      <c r="B86" s="46"/>
      <c r="D86" s="47"/>
      <c r="F86" s="48"/>
      <c r="G86" s="49"/>
      <c r="H86" s="50"/>
      <c r="J86" s="51"/>
      <c r="Q86" s="52"/>
      <c r="T86" s="46"/>
      <c r="U86" s="54"/>
      <c r="W86" s="46"/>
      <c r="X86" s="46"/>
    </row>
    <row r="87" spans="2:24">
      <c r="B87" s="46"/>
      <c r="D87" s="47"/>
      <c r="F87" s="48"/>
      <c r="G87" s="49"/>
      <c r="H87" s="50"/>
      <c r="J87" s="51"/>
      <c r="Q87" s="52"/>
      <c r="T87" s="46"/>
      <c r="U87" s="54"/>
      <c r="W87" s="46"/>
      <c r="X87" s="46"/>
    </row>
    <row r="88" spans="2:24">
      <c r="B88" s="46"/>
      <c r="D88" s="47"/>
      <c r="F88" s="48"/>
      <c r="G88" s="49"/>
      <c r="H88" s="50"/>
      <c r="J88" s="51"/>
      <c r="Q88" s="52"/>
      <c r="T88" s="46"/>
      <c r="U88" s="54"/>
      <c r="W88" s="46"/>
      <c r="X88" s="46"/>
    </row>
    <row r="89" spans="2:24">
      <c r="B89" s="46"/>
      <c r="D89" s="47"/>
      <c r="F89" s="48"/>
      <c r="G89" s="49"/>
      <c r="H89" s="50"/>
      <c r="J89" s="51"/>
      <c r="Q89" s="52"/>
      <c r="T89" s="46"/>
      <c r="U89" s="54"/>
      <c r="W89" s="46"/>
      <c r="X89" s="46"/>
    </row>
    <row r="90" spans="2:24">
      <c r="B90" s="46"/>
      <c r="D90" s="47"/>
      <c r="F90" s="48"/>
      <c r="G90" s="49"/>
      <c r="H90" s="50"/>
      <c r="J90" s="51"/>
      <c r="Q90" s="52"/>
      <c r="T90" s="46"/>
      <c r="U90" s="54"/>
      <c r="W90" s="46"/>
      <c r="X90" s="46"/>
    </row>
    <row r="91" spans="2:24">
      <c r="B91" s="46"/>
      <c r="D91" s="47"/>
      <c r="F91" s="48"/>
      <c r="G91" s="49"/>
      <c r="H91" s="50"/>
      <c r="J91" s="51"/>
      <c r="Q91" s="52"/>
      <c r="T91" s="46"/>
      <c r="U91" s="54"/>
      <c r="W91" s="46"/>
      <c r="X91" s="46"/>
    </row>
    <row r="92" spans="2:24">
      <c r="B92" s="46"/>
      <c r="D92" s="47"/>
      <c r="F92" s="48"/>
      <c r="G92" s="49"/>
      <c r="H92" s="50"/>
      <c r="J92" s="51"/>
      <c r="Q92" s="52"/>
      <c r="T92" s="46"/>
      <c r="U92" s="54"/>
      <c r="W92" s="46"/>
      <c r="X92" s="46"/>
    </row>
    <row r="93" spans="2:24">
      <c r="B93" s="46"/>
      <c r="D93" s="47"/>
      <c r="F93" s="48"/>
      <c r="G93" s="49"/>
      <c r="H93" s="50"/>
      <c r="J93" s="51"/>
      <c r="Q93" s="52"/>
      <c r="T93" s="46"/>
      <c r="U93" s="54"/>
      <c r="W93" s="46"/>
      <c r="X93" s="46"/>
    </row>
    <row r="94" spans="2:24">
      <c r="B94" s="46"/>
      <c r="D94" s="47"/>
      <c r="F94" s="48"/>
      <c r="G94" s="49"/>
      <c r="H94" s="50"/>
      <c r="J94" s="51"/>
      <c r="Q94" s="52"/>
      <c r="T94" s="46"/>
      <c r="U94" s="54"/>
      <c r="W94" s="46"/>
      <c r="X94" s="46"/>
    </row>
    <row r="95" spans="2:24">
      <c r="B95" s="46"/>
      <c r="D95" s="47"/>
      <c r="F95" s="48"/>
      <c r="G95" s="49"/>
      <c r="H95" s="50"/>
      <c r="J95" s="51"/>
      <c r="Q95" s="52"/>
      <c r="T95" s="46"/>
      <c r="U95" s="54"/>
      <c r="W95" s="46"/>
      <c r="X95" s="46"/>
    </row>
    <row r="96" spans="2:24">
      <c r="B96" s="46"/>
      <c r="D96" s="47"/>
      <c r="F96" s="48"/>
      <c r="G96" s="49"/>
      <c r="H96" s="50"/>
      <c r="J96" s="51"/>
      <c r="Q96" s="52"/>
      <c r="T96" s="46"/>
      <c r="U96" s="54"/>
      <c r="W96" s="46"/>
      <c r="X96" s="46"/>
    </row>
    <row r="97" spans="2:24">
      <c r="B97" s="46"/>
      <c r="D97" s="47"/>
      <c r="F97" s="48"/>
      <c r="G97" s="49"/>
      <c r="H97" s="50"/>
      <c r="J97" s="51"/>
      <c r="Q97" s="52"/>
      <c r="T97" s="46"/>
      <c r="U97" s="54"/>
      <c r="W97" s="46"/>
      <c r="X97" s="46"/>
    </row>
    <row r="98" spans="2:24">
      <c r="B98" s="46"/>
      <c r="D98" s="47"/>
      <c r="F98" s="48"/>
      <c r="G98" s="49"/>
      <c r="H98" s="50"/>
      <c r="J98" s="51"/>
      <c r="Q98" s="52"/>
      <c r="T98" s="46"/>
      <c r="U98" s="54"/>
      <c r="W98" s="46"/>
      <c r="X98" s="46"/>
    </row>
    <row r="99" spans="2:24">
      <c r="B99" s="46"/>
      <c r="D99" s="47"/>
      <c r="F99" s="48"/>
      <c r="G99" s="49"/>
      <c r="H99" s="50"/>
      <c r="J99" s="51"/>
      <c r="Q99" s="52"/>
      <c r="T99" s="46"/>
      <c r="U99" s="54"/>
      <c r="W99" s="46"/>
      <c r="X99" s="46"/>
    </row>
    <row r="100" spans="2:24">
      <c r="B100" s="46"/>
      <c r="D100" s="47"/>
      <c r="F100" s="48"/>
      <c r="G100" s="49"/>
      <c r="H100" s="50"/>
      <c r="J100" s="51"/>
      <c r="Q100" s="52"/>
      <c r="T100" s="46"/>
      <c r="U100" s="54"/>
      <c r="W100" s="46"/>
      <c r="X100" s="46"/>
    </row>
    <row r="101" spans="2:24">
      <c r="B101" s="46"/>
      <c r="D101" s="47"/>
      <c r="F101" s="48"/>
      <c r="G101" s="49"/>
      <c r="H101" s="50"/>
      <c r="J101" s="51"/>
      <c r="Q101" s="52"/>
      <c r="T101" s="46"/>
      <c r="U101" s="54"/>
      <c r="W101" s="46"/>
      <c r="X101" s="46"/>
    </row>
    <row r="102" spans="2:24">
      <c r="B102" s="46"/>
      <c r="D102" s="47"/>
      <c r="F102" s="48"/>
      <c r="G102" s="49"/>
      <c r="H102" s="50"/>
      <c r="J102" s="51"/>
      <c r="Q102" s="52"/>
      <c r="T102" s="46"/>
      <c r="U102" s="54"/>
      <c r="W102" s="46"/>
      <c r="X102" s="46"/>
    </row>
    <row r="103" spans="2:24">
      <c r="B103" s="46"/>
      <c r="D103" s="47"/>
      <c r="F103" s="48"/>
      <c r="G103" s="49"/>
      <c r="H103" s="50"/>
      <c r="J103" s="51"/>
      <c r="Q103" s="52"/>
      <c r="T103" s="46"/>
      <c r="U103" s="54"/>
      <c r="W103" s="46"/>
      <c r="X103" s="46"/>
    </row>
    <row r="104" spans="2:24">
      <c r="B104" s="46"/>
      <c r="D104" s="47"/>
      <c r="F104" s="48"/>
      <c r="G104" s="49"/>
      <c r="H104" s="50"/>
      <c r="J104" s="51"/>
      <c r="Q104" s="52"/>
      <c r="T104" s="46"/>
      <c r="U104" s="54"/>
      <c r="W104" s="46"/>
      <c r="X104" s="46"/>
    </row>
    <row r="105" spans="2:24">
      <c r="B105" s="46"/>
      <c r="D105" s="47"/>
      <c r="F105" s="48"/>
      <c r="G105" s="49"/>
      <c r="H105" s="50"/>
      <c r="J105" s="51"/>
      <c r="Q105" s="52"/>
      <c r="T105" s="46"/>
      <c r="U105" s="54"/>
      <c r="W105" s="46"/>
      <c r="X105" s="46"/>
    </row>
    <row r="106" spans="2:24">
      <c r="B106" s="46"/>
      <c r="D106" s="47"/>
      <c r="F106" s="48"/>
      <c r="G106" s="49"/>
      <c r="H106" s="50"/>
      <c r="J106" s="51"/>
      <c r="Q106" s="52"/>
      <c r="T106" s="46"/>
      <c r="U106" s="54"/>
      <c r="W106" s="46"/>
      <c r="X106" s="46"/>
    </row>
    <row r="107" spans="2:24">
      <c r="B107" s="46"/>
      <c r="D107" s="47"/>
      <c r="F107" s="48"/>
      <c r="G107" s="49"/>
      <c r="H107" s="50"/>
      <c r="J107" s="51"/>
      <c r="Q107" s="52"/>
      <c r="T107" s="46"/>
      <c r="U107" s="54"/>
      <c r="W107" s="46"/>
      <c r="X107" s="46"/>
    </row>
    <row r="108" spans="2:24">
      <c r="B108" s="46"/>
      <c r="D108" s="47"/>
      <c r="F108" s="48"/>
      <c r="G108" s="49"/>
      <c r="H108" s="50"/>
      <c r="J108" s="51"/>
      <c r="Q108" s="52"/>
      <c r="T108" s="46"/>
      <c r="U108" s="54"/>
      <c r="W108" s="46"/>
      <c r="X108" s="46"/>
    </row>
    <row r="109" spans="2:24">
      <c r="B109" s="46"/>
      <c r="D109" s="47"/>
      <c r="F109" s="48"/>
      <c r="G109" s="49"/>
      <c r="H109" s="50"/>
      <c r="J109" s="51"/>
      <c r="Q109" s="52"/>
      <c r="T109" s="46"/>
      <c r="U109" s="54"/>
      <c r="W109" s="46"/>
      <c r="X109" s="46"/>
    </row>
    <row r="110" spans="2:24">
      <c r="B110" s="46"/>
      <c r="D110" s="47"/>
      <c r="F110" s="48"/>
      <c r="G110" s="49"/>
      <c r="H110" s="50"/>
      <c r="J110" s="51"/>
      <c r="Q110" s="52"/>
      <c r="T110" s="46"/>
      <c r="U110" s="54"/>
      <c r="W110" s="46"/>
      <c r="X110" s="46"/>
    </row>
    <row r="111" spans="2:24">
      <c r="B111" s="46"/>
      <c r="D111" s="47"/>
      <c r="F111" s="48"/>
      <c r="G111" s="49"/>
      <c r="H111" s="50"/>
      <c r="J111" s="51"/>
      <c r="Q111" s="52"/>
      <c r="T111" s="46"/>
      <c r="U111" s="54"/>
      <c r="W111" s="46"/>
      <c r="X111" s="46"/>
    </row>
    <row r="112" spans="2:24">
      <c r="B112" s="46"/>
      <c r="D112" s="47"/>
      <c r="F112" s="48"/>
      <c r="G112" s="49"/>
      <c r="H112" s="50"/>
      <c r="J112" s="51"/>
      <c r="Q112" s="52"/>
      <c r="T112" s="46"/>
      <c r="U112" s="54"/>
      <c r="W112" s="46"/>
      <c r="X112" s="46"/>
    </row>
    <row r="113" spans="2:24">
      <c r="B113" s="46"/>
      <c r="D113" s="47"/>
      <c r="F113" s="48"/>
      <c r="G113" s="49"/>
      <c r="H113" s="50"/>
      <c r="J113" s="51"/>
      <c r="Q113" s="52"/>
      <c r="T113" s="46"/>
      <c r="U113" s="54"/>
      <c r="W113" s="46"/>
      <c r="X113" s="46"/>
    </row>
    <row r="114" spans="2:24">
      <c r="B114" s="46"/>
      <c r="D114" s="47"/>
      <c r="F114" s="48"/>
      <c r="G114" s="49"/>
      <c r="H114" s="50"/>
      <c r="J114" s="51"/>
      <c r="Q114" s="52"/>
      <c r="T114" s="46"/>
      <c r="U114" s="54"/>
      <c r="W114" s="46"/>
      <c r="X114" s="46"/>
    </row>
    <row r="115" spans="2:24">
      <c r="B115" s="46"/>
      <c r="D115" s="47"/>
      <c r="F115" s="48"/>
      <c r="G115" s="49"/>
      <c r="H115" s="50"/>
      <c r="J115" s="51"/>
      <c r="Q115" s="52"/>
      <c r="T115" s="46"/>
      <c r="U115" s="54"/>
      <c r="W115" s="46"/>
      <c r="X115" s="46"/>
    </row>
    <row r="116" spans="2:24">
      <c r="B116" s="46"/>
      <c r="D116" s="47"/>
      <c r="F116" s="48"/>
      <c r="G116" s="49"/>
      <c r="H116" s="50"/>
      <c r="J116" s="51"/>
      <c r="Q116" s="52"/>
      <c r="T116" s="46"/>
      <c r="U116" s="54"/>
      <c r="W116" s="46"/>
      <c r="X116" s="46"/>
    </row>
    <row r="117" spans="2:24">
      <c r="B117" s="46"/>
      <c r="D117" s="47"/>
      <c r="F117" s="48"/>
      <c r="G117" s="49"/>
      <c r="H117" s="50"/>
      <c r="J117" s="51"/>
      <c r="Q117" s="52"/>
      <c r="T117" s="46"/>
      <c r="U117" s="54"/>
      <c r="W117" s="46"/>
      <c r="X117" s="46"/>
    </row>
    <row r="118" spans="2:24">
      <c r="B118" s="46"/>
      <c r="D118" s="47"/>
      <c r="F118" s="48"/>
      <c r="G118" s="49"/>
      <c r="H118" s="50"/>
      <c r="J118" s="51"/>
      <c r="Q118" s="52"/>
      <c r="T118" s="46"/>
      <c r="U118" s="54"/>
      <c r="W118" s="46"/>
      <c r="X118" s="46"/>
    </row>
    <row r="119" spans="2:24">
      <c r="B119" s="46"/>
      <c r="D119" s="47"/>
      <c r="F119" s="48"/>
      <c r="G119" s="49"/>
      <c r="H119" s="50"/>
      <c r="J119" s="51"/>
      <c r="Q119" s="52"/>
      <c r="T119" s="46"/>
      <c r="U119" s="54"/>
      <c r="W119" s="46"/>
      <c r="X119" s="46"/>
    </row>
    <row r="120" spans="2:24">
      <c r="B120" s="46"/>
      <c r="D120" s="47"/>
      <c r="F120" s="48"/>
      <c r="G120" s="49"/>
      <c r="H120" s="50"/>
      <c r="J120" s="51"/>
      <c r="Q120" s="52"/>
      <c r="T120" s="46"/>
      <c r="U120" s="54"/>
      <c r="W120" s="46"/>
      <c r="X120" s="46"/>
    </row>
    <row r="121" spans="2:24">
      <c r="B121" s="46"/>
      <c r="D121" s="47"/>
      <c r="F121" s="48"/>
      <c r="G121" s="49"/>
      <c r="H121" s="50"/>
      <c r="J121" s="51"/>
      <c r="Q121" s="52"/>
      <c r="T121" s="46"/>
      <c r="U121" s="54"/>
      <c r="W121" s="46"/>
      <c r="X121" s="46"/>
    </row>
    <row r="122" spans="2:24">
      <c r="B122" s="46"/>
      <c r="D122" s="47"/>
      <c r="F122" s="48"/>
      <c r="G122" s="49"/>
      <c r="H122" s="50"/>
      <c r="J122" s="51"/>
      <c r="Q122" s="52"/>
      <c r="T122" s="46"/>
      <c r="U122" s="54"/>
      <c r="W122" s="46"/>
      <c r="X122" s="46"/>
    </row>
    <row r="123" spans="2:24">
      <c r="B123" s="46"/>
      <c r="D123" s="47"/>
      <c r="F123" s="48"/>
      <c r="G123" s="49"/>
      <c r="H123" s="50"/>
      <c r="J123" s="51"/>
      <c r="Q123" s="52"/>
      <c r="T123" s="46"/>
      <c r="U123" s="54"/>
      <c r="W123" s="46"/>
      <c r="X123" s="46"/>
    </row>
    <row r="124" spans="2:24">
      <c r="B124" s="46"/>
      <c r="D124" s="47"/>
      <c r="F124" s="48"/>
      <c r="G124" s="49"/>
      <c r="H124" s="50"/>
      <c r="J124" s="51"/>
      <c r="Q124" s="52"/>
      <c r="T124" s="46"/>
      <c r="U124" s="54"/>
      <c r="W124" s="46"/>
      <c r="X124" s="46"/>
    </row>
    <row r="125" spans="2:24">
      <c r="B125" s="46"/>
      <c r="D125" s="47"/>
      <c r="F125" s="48"/>
      <c r="G125" s="49"/>
      <c r="H125" s="50"/>
      <c r="J125" s="51"/>
      <c r="Q125" s="52"/>
      <c r="T125" s="46"/>
      <c r="U125" s="54"/>
      <c r="W125" s="46"/>
      <c r="X125" s="46"/>
    </row>
    <row r="126" spans="2:24">
      <c r="B126" s="46"/>
      <c r="D126" s="47"/>
      <c r="F126" s="48"/>
      <c r="G126" s="49"/>
      <c r="H126" s="50"/>
      <c r="J126" s="51"/>
      <c r="Q126" s="52"/>
      <c r="T126" s="46"/>
      <c r="U126" s="54"/>
      <c r="W126" s="46"/>
      <c r="X126" s="46"/>
    </row>
    <row r="127" spans="2:24">
      <c r="B127" s="46"/>
      <c r="D127" s="47"/>
      <c r="F127" s="48"/>
      <c r="G127" s="49"/>
      <c r="H127" s="50"/>
      <c r="J127" s="51"/>
      <c r="Q127" s="52"/>
      <c r="T127" s="46"/>
      <c r="U127" s="54"/>
      <c r="W127" s="46"/>
      <c r="X127" s="46"/>
    </row>
    <row r="128" spans="2:24">
      <c r="B128" s="46"/>
      <c r="D128" s="47"/>
      <c r="F128" s="48"/>
      <c r="G128" s="49"/>
      <c r="H128" s="50"/>
      <c r="J128" s="51"/>
      <c r="Q128" s="52"/>
      <c r="T128" s="46"/>
      <c r="U128" s="54"/>
      <c r="W128" s="46"/>
      <c r="X128" s="46"/>
    </row>
    <row r="129" spans="2:24">
      <c r="B129" s="46"/>
      <c r="D129" s="47"/>
      <c r="F129" s="48"/>
      <c r="G129" s="49"/>
      <c r="H129" s="50"/>
      <c r="J129" s="51"/>
      <c r="Q129" s="52"/>
      <c r="T129" s="46"/>
      <c r="U129" s="54"/>
      <c r="W129" s="46"/>
      <c r="X129" s="46"/>
    </row>
    <row r="130" spans="2:24">
      <c r="B130" s="46"/>
      <c r="D130" s="47"/>
      <c r="F130" s="48"/>
      <c r="G130" s="49"/>
      <c r="H130" s="50"/>
      <c r="J130" s="51"/>
      <c r="Q130" s="52"/>
      <c r="T130" s="46"/>
      <c r="U130" s="54"/>
      <c r="W130" s="46"/>
      <c r="X130" s="46"/>
    </row>
    <row r="131" spans="2:24">
      <c r="B131" s="46"/>
      <c r="D131" s="47"/>
      <c r="F131" s="48"/>
      <c r="G131" s="49"/>
      <c r="H131" s="50"/>
      <c r="J131" s="51"/>
      <c r="Q131" s="52"/>
      <c r="T131" s="46"/>
      <c r="U131" s="54"/>
      <c r="W131" s="46"/>
      <c r="X131" s="46"/>
    </row>
    <row r="132" spans="2:24">
      <c r="B132" s="46"/>
      <c r="D132" s="47"/>
      <c r="F132" s="48"/>
      <c r="G132" s="49"/>
      <c r="H132" s="50"/>
      <c r="J132" s="51"/>
      <c r="Q132" s="52"/>
      <c r="T132" s="46"/>
      <c r="U132" s="54"/>
      <c r="W132" s="46"/>
      <c r="X132" s="46"/>
    </row>
    <row r="133" spans="2:24">
      <c r="B133" s="46"/>
      <c r="D133" s="47"/>
      <c r="F133" s="48"/>
      <c r="G133" s="49"/>
      <c r="H133" s="50"/>
      <c r="J133" s="51"/>
      <c r="Q133" s="52"/>
      <c r="T133" s="46"/>
      <c r="U133" s="54"/>
      <c r="W133" s="46"/>
      <c r="X133" s="46"/>
    </row>
    <row r="134" spans="2:24">
      <c r="B134" s="46"/>
      <c r="D134" s="47"/>
      <c r="F134" s="48"/>
      <c r="G134" s="49"/>
      <c r="H134" s="50"/>
      <c r="J134" s="51"/>
      <c r="Q134" s="52"/>
      <c r="T134" s="46"/>
      <c r="U134" s="54"/>
      <c r="W134" s="46"/>
      <c r="X134" s="46"/>
    </row>
    <row r="135" spans="2:24">
      <c r="B135" s="46"/>
      <c r="D135" s="47"/>
      <c r="F135" s="48"/>
      <c r="G135" s="49"/>
      <c r="H135" s="50"/>
      <c r="J135" s="51"/>
      <c r="Q135" s="52"/>
      <c r="T135" s="46"/>
      <c r="U135" s="54"/>
      <c r="W135" s="46"/>
      <c r="X135" s="46"/>
    </row>
    <row r="136" spans="2:24">
      <c r="B136" s="46"/>
      <c r="D136" s="47"/>
      <c r="F136" s="48"/>
      <c r="G136" s="49"/>
      <c r="H136" s="50"/>
      <c r="J136" s="51"/>
      <c r="Q136" s="52"/>
      <c r="T136" s="46"/>
      <c r="U136" s="54"/>
      <c r="W136" s="46"/>
      <c r="X136" s="46"/>
    </row>
    <row r="137" spans="2:24">
      <c r="B137" s="46"/>
      <c r="D137" s="47"/>
      <c r="F137" s="48"/>
      <c r="G137" s="49"/>
      <c r="H137" s="50"/>
      <c r="J137" s="51"/>
      <c r="Q137" s="52"/>
      <c r="T137" s="46"/>
      <c r="U137" s="54"/>
      <c r="W137" s="46"/>
      <c r="X137" s="46"/>
    </row>
    <row r="138" spans="2:24">
      <c r="B138" s="46"/>
      <c r="D138" s="47"/>
      <c r="F138" s="48"/>
      <c r="G138" s="49"/>
      <c r="H138" s="50"/>
      <c r="J138" s="51"/>
      <c r="Q138" s="52"/>
      <c r="T138" s="46"/>
      <c r="U138" s="54"/>
      <c r="W138" s="46"/>
      <c r="X138" s="46"/>
    </row>
    <row r="139" spans="2:24">
      <c r="B139" s="46"/>
      <c r="D139" s="47"/>
      <c r="F139" s="48"/>
      <c r="G139" s="49"/>
      <c r="H139" s="50"/>
      <c r="J139" s="51"/>
      <c r="Q139" s="52"/>
      <c r="T139" s="46"/>
      <c r="U139" s="54"/>
      <c r="W139" s="46"/>
      <c r="X139" s="46"/>
    </row>
    <row r="140" spans="2:24">
      <c r="B140" s="46"/>
      <c r="D140" s="47"/>
      <c r="F140" s="48"/>
      <c r="G140" s="49"/>
      <c r="H140" s="50"/>
      <c r="J140" s="51"/>
      <c r="Q140" s="52"/>
      <c r="T140" s="46"/>
      <c r="U140" s="54"/>
      <c r="W140" s="46"/>
      <c r="X140" s="46"/>
    </row>
    <row r="141" spans="2:24">
      <c r="B141" s="46"/>
      <c r="D141" s="47"/>
      <c r="F141" s="48"/>
      <c r="G141" s="49"/>
      <c r="H141" s="50"/>
      <c r="J141" s="51"/>
      <c r="Q141" s="52"/>
      <c r="T141" s="46"/>
      <c r="U141" s="54"/>
      <c r="W141" s="46"/>
      <c r="X141" s="46"/>
    </row>
    <row r="142" spans="2:24">
      <c r="B142" s="46"/>
      <c r="D142" s="47"/>
      <c r="F142" s="48"/>
      <c r="G142" s="49"/>
      <c r="H142" s="50"/>
      <c r="J142" s="51"/>
      <c r="Q142" s="52"/>
      <c r="T142" s="46"/>
      <c r="U142" s="54"/>
      <c r="W142" s="46"/>
      <c r="X142" s="46"/>
    </row>
    <row r="143" spans="2:24">
      <c r="B143" s="46"/>
      <c r="D143" s="47"/>
      <c r="F143" s="48"/>
      <c r="G143" s="49"/>
      <c r="H143" s="50"/>
      <c r="J143" s="51"/>
      <c r="Q143" s="52"/>
      <c r="T143" s="46"/>
      <c r="U143" s="54"/>
      <c r="W143" s="46"/>
      <c r="X143" s="46"/>
    </row>
    <row r="144" spans="2:24">
      <c r="B144" s="46"/>
      <c r="D144" s="47"/>
      <c r="F144" s="48"/>
      <c r="G144" s="49"/>
      <c r="H144" s="50"/>
      <c r="J144" s="51"/>
      <c r="Q144" s="52"/>
      <c r="T144" s="46"/>
      <c r="U144" s="54"/>
      <c r="W144" s="46"/>
      <c r="X144" s="46"/>
    </row>
    <row r="145" spans="2:24">
      <c r="B145" s="46"/>
      <c r="D145" s="47"/>
      <c r="F145" s="48"/>
      <c r="G145" s="49"/>
      <c r="H145" s="50"/>
      <c r="J145" s="51"/>
      <c r="Q145" s="52"/>
      <c r="T145" s="46"/>
      <c r="U145" s="54"/>
      <c r="W145" s="46"/>
      <c r="X145" s="46"/>
    </row>
    <row r="146" spans="2:24">
      <c r="B146" s="46"/>
      <c r="D146" s="47"/>
      <c r="F146" s="48"/>
      <c r="G146" s="49"/>
      <c r="H146" s="50"/>
      <c r="J146" s="51"/>
      <c r="Q146" s="52"/>
      <c r="T146" s="46"/>
      <c r="U146" s="54"/>
      <c r="W146" s="46"/>
      <c r="X146" s="46"/>
    </row>
    <row r="147" spans="2:24">
      <c r="B147" s="46"/>
      <c r="D147" s="47"/>
      <c r="F147" s="48"/>
      <c r="G147" s="49"/>
      <c r="H147" s="50"/>
      <c r="J147" s="51"/>
      <c r="Q147" s="52"/>
      <c r="T147" s="46"/>
      <c r="U147" s="54"/>
      <c r="W147" s="46"/>
      <c r="X147" s="46"/>
    </row>
    <row r="148" spans="2:24">
      <c r="B148" s="46"/>
      <c r="D148" s="47"/>
      <c r="F148" s="48"/>
      <c r="G148" s="49"/>
      <c r="H148" s="50"/>
      <c r="J148" s="51"/>
      <c r="Q148" s="52"/>
      <c r="T148" s="46"/>
      <c r="U148" s="54"/>
      <c r="W148" s="46"/>
      <c r="X148" s="46"/>
    </row>
    <row r="149" spans="2:24">
      <c r="B149" s="46"/>
      <c r="D149" s="47"/>
      <c r="F149" s="48"/>
      <c r="G149" s="49"/>
      <c r="H149" s="50"/>
      <c r="J149" s="51"/>
      <c r="Q149" s="52"/>
      <c r="T149" s="46"/>
      <c r="U149" s="54"/>
      <c r="W149" s="46"/>
      <c r="X149" s="46"/>
    </row>
    <row r="150" spans="2:24">
      <c r="B150" s="46"/>
      <c r="D150" s="47"/>
      <c r="F150" s="48"/>
      <c r="G150" s="49"/>
      <c r="H150" s="50"/>
      <c r="J150" s="51"/>
      <c r="Q150" s="52"/>
      <c r="T150" s="46"/>
      <c r="U150" s="54"/>
      <c r="W150" s="46"/>
      <c r="X150" s="46"/>
    </row>
    <row r="151" spans="2:24">
      <c r="B151" s="46"/>
      <c r="D151" s="47"/>
      <c r="F151" s="48"/>
      <c r="G151" s="49"/>
      <c r="H151" s="50"/>
      <c r="J151" s="51"/>
      <c r="Q151" s="52"/>
      <c r="T151" s="46"/>
      <c r="U151" s="54"/>
      <c r="W151" s="46"/>
      <c r="X151" s="46"/>
    </row>
    <row r="152" spans="2:24">
      <c r="B152" s="46"/>
      <c r="D152" s="47"/>
      <c r="F152" s="48"/>
      <c r="G152" s="49"/>
      <c r="H152" s="50"/>
      <c r="J152" s="51"/>
      <c r="Q152" s="52"/>
      <c r="T152" s="46"/>
      <c r="U152" s="54"/>
      <c r="W152" s="46"/>
      <c r="X152" s="46"/>
    </row>
    <row r="153" spans="2:24">
      <c r="B153" s="46"/>
      <c r="D153" s="47"/>
      <c r="F153" s="48"/>
      <c r="G153" s="49"/>
      <c r="H153" s="50"/>
      <c r="J153" s="51"/>
      <c r="Q153" s="52"/>
      <c r="T153" s="46"/>
      <c r="U153" s="54"/>
      <c r="W153" s="46"/>
      <c r="X153" s="46"/>
    </row>
    <row r="154" spans="2:24">
      <c r="B154" s="46"/>
      <c r="D154" s="47"/>
      <c r="F154" s="48"/>
      <c r="G154" s="49"/>
      <c r="H154" s="50"/>
      <c r="J154" s="51"/>
      <c r="Q154" s="52"/>
      <c r="T154" s="46"/>
      <c r="U154" s="54"/>
      <c r="W154" s="46"/>
      <c r="X154" s="46"/>
    </row>
    <row r="155" spans="2:24">
      <c r="B155" s="46"/>
      <c r="D155" s="47"/>
      <c r="F155" s="48"/>
      <c r="G155" s="49"/>
      <c r="H155" s="50"/>
      <c r="J155" s="51"/>
      <c r="Q155" s="52"/>
      <c r="T155" s="46"/>
      <c r="U155" s="54"/>
      <c r="W155" s="46"/>
      <c r="X155" s="46"/>
    </row>
    <row r="156" spans="2:24">
      <c r="B156" s="46"/>
      <c r="D156" s="47"/>
      <c r="F156" s="48"/>
      <c r="G156" s="49"/>
      <c r="H156" s="50"/>
      <c r="J156" s="51"/>
      <c r="Q156" s="52"/>
      <c r="T156" s="46"/>
      <c r="U156" s="54"/>
      <c r="W156" s="46"/>
      <c r="X156" s="46"/>
    </row>
    <row r="157" spans="2:24">
      <c r="B157" s="46"/>
      <c r="D157" s="47"/>
      <c r="F157" s="48"/>
      <c r="G157" s="49"/>
      <c r="H157" s="50"/>
      <c r="J157" s="51"/>
      <c r="Q157" s="52"/>
      <c r="T157" s="46"/>
      <c r="U157" s="54"/>
      <c r="W157" s="46"/>
      <c r="X157" s="46"/>
    </row>
    <row r="158" spans="2:24">
      <c r="B158" s="46"/>
      <c r="D158" s="47"/>
      <c r="F158" s="48"/>
      <c r="G158" s="49"/>
      <c r="H158" s="50"/>
      <c r="J158" s="51"/>
      <c r="Q158" s="52"/>
      <c r="T158" s="46"/>
      <c r="U158" s="54"/>
      <c r="W158" s="46"/>
      <c r="X158" s="46"/>
    </row>
    <row r="159" spans="2:24">
      <c r="B159" s="46"/>
      <c r="D159" s="47"/>
      <c r="F159" s="48"/>
      <c r="G159" s="49"/>
      <c r="H159" s="50"/>
      <c r="J159" s="51"/>
      <c r="Q159" s="52"/>
      <c r="T159" s="46"/>
      <c r="U159" s="54"/>
      <c r="W159" s="46"/>
      <c r="X159" s="46"/>
    </row>
    <row r="160" spans="2:24">
      <c r="B160" s="46"/>
      <c r="D160" s="47"/>
      <c r="F160" s="48"/>
      <c r="G160" s="49"/>
      <c r="H160" s="50"/>
      <c r="J160" s="51"/>
      <c r="Q160" s="52"/>
      <c r="T160" s="46"/>
      <c r="U160" s="54"/>
      <c r="W160" s="46"/>
      <c r="X160" s="46"/>
    </row>
    <row r="161" spans="2:24">
      <c r="B161" s="46"/>
      <c r="D161" s="47"/>
      <c r="F161" s="48"/>
      <c r="G161" s="49"/>
      <c r="H161" s="50"/>
      <c r="J161" s="51"/>
      <c r="Q161" s="52"/>
      <c r="T161" s="46"/>
      <c r="U161" s="54"/>
      <c r="W161" s="46"/>
      <c r="X161" s="46"/>
    </row>
    <row r="162" spans="2:24">
      <c r="B162" s="46"/>
      <c r="D162" s="47"/>
      <c r="F162" s="48"/>
      <c r="G162" s="49"/>
      <c r="H162" s="50"/>
      <c r="J162" s="51"/>
      <c r="Q162" s="52"/>
      <c r="T162" s="46"/>
      <c r="U162" s="54"/>
      <c r="W162" s="46"/>
      <c r="X162" s="46"/>
    </row>
    <row r="163" spans="2:24">
      <c r="B163" s="46"/>
      <c r="D163" s="47"/>
      <c r="F163" s="48"/>
      <c r="G163" s="49"/>
      <c r="H163" s="50"/>
      <c r="J163" s="51"/>
      <c r="Q163" s="52"/>
      <c r="T163" s="46"/>
      <c r="U163" s="54"/>
      <c r="W163" s="46"/>
      <c r="X163" s="46"/>
    </row>
    <row r="164" spans="2:24">
      <c r="B164" s="46"/>
      <c r="D164" s="47"/>
      <c r="F164" s="48"/>
      <c r="G164" s="49"/>
      <c r="H164" s="50"/>
      <c r="J164" s="51"/>
      <c r="Q164" s="52"/>
      <c r="T164" s="46"/>
      <c r="U164" s="54"/>
      <c r="W164" s="46"/>
      <c r="X164" s="46"/>
    </row>
    <row r="165" spans="2:24">
      <c r="B165" s="46"/>
      <c r="D165" s="47"/>
      <c r="F165" s="48"/>
      <c r="G165" s="49"/>
      <c r="H165" s="50"/>
      <c r="J165" s="51"/>
      <c r="Q165" s="52"/>
      <c r="T165" s="46"/>
      <c r="U165" s="54"/>
      <c r="W165" s="46"/>
      <c r="X165" s="46"/>
    </row>
    <row r="166" spans="2:24">
      <c r="B166" s="46"/>
      <c r="D166" s="47"/>
      <c r="F166" s="48"/>
      <c r="G166" s="49"/>
      <c r="H166" s="50"/>
      <c r="J166" s="51"/>
      <c r="Q166" s="52"/>
      <c r="T166" s="46"/>
      <c r="U166" s="54"/>
      <c r="W166" s="46"/>
      <c r="X166" s="46"/>
    </row>
    <row r="167" spans="2:24">
      <c r="B167" s="46"/>
      <c r="D167" s="47"/>
      <c r="F167" s="48"/>
      <c r="G167" s="49"/>
      <c r="H167" s="50"/>
      <c r="J167" s="51"/>
      <c r="Q167" s="52"/>
      <c r="T167" s="46"/>
      <c r="U167" s="54"/>
      <c r="W167" s="46"/>
      <c r="X167" s="46"/>
    </row>
    <row r="168" spans="2:24">
      <c r="B168" s="46"/>
      <c r="D168" s="47"/>
      <c r="F168" s="48"/>
      <c r="G168" s="49"/>
      <c r="H168" s="50"/>
      <c r="J168" s="51"/>
      <c r="Q168" s="52"/>
      <c r="T168" s="46"/>
      <c r="U168" s="54"/>
      <c r="W168" s="46"/>
      <c r="X168" s="46"/>
    </row>
    <row r="169" spans="2:24">
      <c r="B169" s="46"/>
      <c r="D169" s="47"/>
      <c r="F169" s="48"/>
      <c r="G169" s="49"/>
      <c r="H169" s="50"/>
      <c r="J169" s="51"/>
      <c r="Q169" s="52"/>
      <c r="T169" s="46"/>
      <c r="U169" s="54"/>
      <c r="W169" s="46"/>
      <c r="X169" s="46"/>
    </row>
    <row r="170" spans="2:24">
      <c r="B170" s="46"/>
      <c r="D170" s="47"/>
      <c r="F170" s="48"/>
      <c r="G170" s="49"/>
      <c r="H170" s="50"/>
      <c r="J170" s="51"/>
      <c r="Q170" s="52"/>
      <c r="T170" s="46"/>
      <c r="U170" s="54"/>
      <c r="W170" s="46"/>
      <c r="X170" s="46"/>
    </row>
    <row r="171" spans="2:24">
      <c r="B171" s="46"/>
      <c r="D171" s="47"/>
      <c r="F171" s="48"/>
      <c r="G171" s="49"/>
      <c r="H171" s="50"/>
      <c r="J171" s="51"/>
      <c r="Q171" s="52"/>
      <c r="T171" s="46"/>
      <c r="U171" s="54"/>
      <c r="W171" s="46"/>
      <c r="X171" s="46"/>
    </row>
    <row r="172" spans="2:24">
      <c r="B172" s="46"/>
      <c r="D172" s="47"/>
      <c r="F172" s="48"/>
      <c r="G172" s="49"/>
      <c r="H172" s="50"/>
      <c r="J172" s="51"/>
      <c r="Q172" s="52"/>
      <c r="T172" s="46"/>
      <c r="U172" s="54"/>
      <c r="W172" s="46"/>
      <c r="X172" s="46"/>
    </row>
    <row r="173" spans="2:24">
      <c r="B173" s="46"/>
      <c r="D173" s="47"/>
      <c r="F173" s="48"/>
      <c r="G173" s="49"/>
      <c r="H173" s="50"/>
      <c r="J173" s="51"/>
      <c r="Q173" s="52"/>
      <c r="T173" s="46"/>
      <c r="U173" s="54"/>
      <c r="W173" s="46"/>
      <c r="X173" s="46"/>
    </row>
    <row r="174" spans="2:24">
      <c r="B174" s="46"/>
      <c r="D174" s="47"/>
      <c r="F174" s="48"/>
      <c r="G174" s="49"/>
      <c r="H174" s="50"/>
      <c r="J174" s="51"/>
      <c r="Q174" s="52"/>
      <c r="T174" s="46"/>
      <c r="U174" s="54"/>
      <c r="W174" s="46"/>
      <c r="X174" s="46"/>
    </row>
    <row r="175" spans="2:24">
      <c r="B175" s="46"/>
      <c r="D175" s="47"/>
      <c r="F175" s="48"/>
      <c r="G175" s="49"/>
      <c r="H175" s="50"/>
      <c r="J175" s="51"/>
      <c r="Q175" s="52"/>
      <c r="T175" s="46"/>
      <c r="U175" s="54"/>
      <c r="W175" s="46"/>
      <c r="X175" s="46"/>
    </row>
    <row r="176" spans="2:24">
      <c r="B176" s="46"/>
      <c r="D176" s="47"/>
      <c r="F176" s="48"/>
      <c r="G176" s="49"/>
      <c r="H176" s="50"/>
      <c r="J176" s="51"/>
      <c r="Q176" s="52"/>
      <c r="T176" s="46"/>
      <c r="U176" s="54"/>
      <c r="W176" s="46"/>
      <c r="X176" s="46"/>
    </row>
    <row r="177" spans="2:24">
      <c r="B177" s="46"/>
      <c r="D177" s="47"/>
      <c r="F177" s="48"/>
      <c r="G177" s="49"/>
      <c r="H177" s="50"/>
      <c r="J177" s="51"/>
      <c r="Q177" s="52"/>
      <c r="T177" s="46"/>
      <c r="U177" s="54"/>
      <c r="W177" s="46"/>
      <c r="X177" s="46"/>
    </row>
    <row r="178" spans="2:24">
      <c r="B178" s="46"/>
      <c r="D178" s="47"/>
      <c r="F178" s="48"/>
      <c r="G178" s="49"/>
      <c r="H178" s="50"/>
      <c r="J178" s="51"/>
      <c r="Q178" s="52"/>
      <c r="T178" s="46"/>
      <c r="U178" s="54"/>
      <c r="W178" s="46"/>
      <c r="X178" s="46"/>
    </row>
    <row r="179" spans="2:24">
      <c r="B179" s="46"/>
      <c r="D179" s="47"/>
      <c r="F179" s="48"/>
      <c r="G179" s="49"/>
      <c r="H179" s="50"/>
      <c r="J179" s="51"/>
      <c r="Q179" s="52"/>
      <c r="T179" s="46"/>
      <c r="U179" s="54"/>
      <c r="W179" s="46"/>
      <c r="X179" s="46"/>
    </row>
    <row r="180" spans="2:24">
      <c r="B180" s="46"/>
      <c r="D180" s="47"/>
      <c r="F180" s="48"/>
      <c r="G180" s="49"/>
      <c r="H180" s="50"/>
      <c r="J180" s="51"/>
      <c r="Q180" s="52"/>
      <c r="T180" s="46"/>
      <c r="U180" s="54"/>
      <c r="W180" s="46"/>
      <c r="X180" s="46"/>
    </row>
    <row r="181" spans="2:24">
      <c r="B181" s="46"/>
      <c r="D181" s="47"/>
      <c r="F181" s="48"/>
      <c r="G181" s="49"/>
      <c r="H181" s="50"/>
      <c r="J181" s="51"/>
      <c r="Q181" s="52"/>
      <c r="T181" s="46"/>
      <c r="U181" s="54"/>
      <c r="W181" s="46"/>
      <c r="X181" s="46"/>
    </row>
    <row r="182" spans="2:24">
      <c r="B182" s="46"/>
      <c r="D182" s="47"/>
      <c r="F182" s="48"/>
      <c r="G182" s="49"/>
      <c r="H182" s="50"/>
      <c r="J182" s="51"/>
      <c r="Q182" s="52"/>
      <c r="T182" s="46"/>
      <c r="U182" s="54"/>
      <c r="W182" s="46"/>
      <c r="X182" s="46"/>
    </row>
    <row r="183" spans="2:24">
      <c r="B183" s="46"/>
      <c r="D183" s="47"/>
      <c r="F183" s="48"/>
      <c r="G183" s="49"/>
      <c r="H183" s="50"/>
      <c r="J183" s="51"/>
      <c r="Q183" s="52"/>
      <c r="T183" s="46"/>
      <c r="U183" s="54"/>
      <c r="W183" s="46"/>
      <c r="X183" s="46"/>
    </row>
    <row r="184" spans="2:24">
      <c r="B184" s="46"/>
      <c r="D184" s="47"/>
      <c r="F184" s="48"/>
      <c r="G184" s="49"/>
      <c r="H184" s="50"/>
      <c r="J184" s="51"/>
      <c r="Q184" s="52"/>
      <c r="T184" s="46"/>
      <c r="U184" s="54"/>
      <c r="W184" s="46"/>
      <c r="X184" s="46"/>
    </row>
    <row r="185" spans="2:24">
      <c r="B185" s="46"/>
      <c r="D185" s="47"/>
      <c r="F185" s="48"/>
      <c r="G185" s="49"/>
      <c r="H185" s="50"/>
      <c r="J185" s="51"/>
      <c r="Q185" s="52"/>
      <c r="T185" s="46"/>
      <c r="U185" s="54"/>
      <c r="W185" s="46"/>
      <c r="X185" s="46"/>
    </row>
    <row r="186" spans="2:24">
      <c r="B186" s="46"/>
      <c r="D186" s="47"/>
      <c r="F186" s="48"/>
      <c r="G186" s="49"/>
      <c r="H186" s="50"/>
      <c r="J186" s="51"/>
      <c r="Q186" s="52"/>
      <c r="T186" s="46"/>
      <c r="U186" s="54"/>
      <c r="W186" s="46"/>
      <c r="X186" s="46"/>
    </row>
    <row r="187" spans="2:24">
      <c r="B187" s="46"/>
      <c r="D187" s="47"/>
      <c r="F187" s="48"/>
      <c r="G187" s="49"/>
      <c r="H187" s="50"/>
      <c r="J187" s="51"/>
      <c r="Q187" s="52"/>
      <c r="T187" s="46"/>
      <c r="U187" s="54"/>
      <c r="W187" s="46"/>
      <c r="X187" s="46"/>
    </row>
    <row r="188" spans="2:24">
      <c r="B188" s="46"/>
      <c r="D188" s="47"/>
      <c r="F188" s="48"/>
      <c r="G188" s="49"/>
      <c r="H188" s="50"/>
      <c r="J188" s="51"/>
      <c r="Q188" s="52"/>
      <c r="T188" s="46"/>
      <c r="U188" s="54"/>
      <c r="W188" s="46"/>
      <c r="X188" s="46"/>
    </row>
    <row r="189" spans="2:24">
      <c r="B189" s="46"/>
      <c r="D189" s="47"/>
      <c r="F189" s="48"/>
      <c r="G189" s="49"/>
      <c r="H189" s="50"/>
      <c r="J189" s="51"/>
      <c r="Q189" s="52"/>
      <c r="T189" s="46"/>
      <c r="U189" s="54"/>
      <c r="W189" s="46"/>
      <c r="X189" s="46"/>
    </row>
    <row r="190" spans="2:24">
      <c r="B190" s="46"/>
      <c r="D190" s="47"/>
      <c r="F190" s="48"/>
      <c r="G190" s="49"/>
      <c r="H190" s="50"/>
      <c r="J190" s="51"/>
      <c r="Q190" s="52"/>
      <c r="T190" s="46"/>
      <c r="U190" s="54"/>
      <c r="W190" s="46"/>
      <c r="X190" s="46"/>
    </row>
    <row r="191" spans="2:24">
      <c r="B191" s="46"/>
      <c r="D191" s="47"/>
      <c r="F191" s="48"/>
      <c r="G191" s="49"/>
      <c r="H191" s="50"/>
      <c r="J191" s="51"/>
      <c r="Q191" s="52"/>
      <c r="T191" s="46"/>
      <c r="U191" s="54"/>
      <c r="W191" s="46"/>
      <c r="X191" s="46"/>
    </row>
    <row r="192" spans="2:24">
      <c r="B192" s="46"/>
      <c r="D192" s="47"/>
      <c r="F192" s="48"/>
      <c r="G192" s="49"/>
      <c r="H192" s="50"/>
      <c r="J192" s="51"/>
      <c r="Q192" s="52"/>
      <c r="T192" s="46"/>
      <c r="U192" s="54"/>
      <c r="W192" s="46"/>
      <c r="X192" s="46"/>
    </row>
    <row r="193" spans="2:24">
      <c r="B193" s="46"/>
      <c r="D193" s="47"/>
      <c r="F193" s="48"/>
      <c r="G193" s="49"/>
      <c r="H193" s="50"/>
      <c r="J193" s="51"/>
      <c r="Q193" s="52"/>
      <c r="T193" s="46"/>
      <c r="U193" s="54"/>
      <c r="W193" s="46"/>
      <c r="X193" s="46"/>
    </row>
    <row r="194" spans="2:24">
      <c r="B194" s="46"/>
      <c r="D194" s="47"/>
      <c r="F194" s="48"/>
      <c r="G194" s="49"/>
      <c r="H194" s="50"/>
      <c r="J194" s="51"/>
      <c r="Q194" s="52"/>
      <c r="T194" s="46"/>
      <c r="U194" s="54"/>
      <c r="W194" s="46"/>
      <c r="X194" s="46"/>
    </row>
    <row r="195" spans="2:24">
      <c r="B195" s="46"/>
      <c r="D195" s="47"/>
      <c r="F195" s="48"/>
      <c r="G195" s="49"/>
      <c r="H195" s="50"/>
      <c r="J195" s="51"/>
      <c r="Q195" s="52"/>
      <c r="T195" s="46"/>
      <c r="U195" s="54"/>
      <c r="W195" s="46"/>
      <c r="X195" s="46"/>
    </row>
    <row r="196" spans="2:24">
      <c r="B196" s="46"/>
      <c r="D196" s="47"/>
      <c r="F196" s="48"/>
      <c r="G196" s="49"/>
      <c r="H196" s="50"/>
      <c r="J196" s="51"/>
      <c r="Q196" s="52"/>
      <c r="T196" s="46"/>
      <c r="U196" s="54"/>
      <c r="W196" s="46"/>
      <c r="X196" s="46"/>
    </row>
    <row r="197" spans="2:24">
      <c r="B197" s="46"/>
      <c r="D197" s="47"/>
      <c r="F197" s="48"/>
      <c r="G197" s="49"/>
      <c r="H197" s="50"/>
      <c r="J197" s="51"/>
      <c r="Q197" s="52"/>
      <c r="T197" s="46"/>
      <c r="U197" s="54"/>
      <c r="W197" s="46"/>
      <c r="X197" s="46"/>
    </row>
    <row r="198" spans="2:24">
      <c r="B198" s="46"/>
      <c r="D198" s="47"/>
      <c r="F198" s="48"/>
      <c r="G198" s="49"/>
      <c r="H198" s="50"/>
      <c r="J198" s="51"/>
      <c r="Q198" s="52"/>
      <c r="T198" s="46"/>
      <c r="U198" s="54"/>
      <c r="W198" s="46"/>
      <c r="X198" s="46"/>
    </row>
    <row r="199" spans="2:24">
      <c r="B199" s="46"/>
      <c r="D199" s="47"/>
      <c r="F199" s="48"/>
      <c r="G199" s="49"/>
      <c r="H199" s="50"/>
      <c r="J199" s="51"/>
      <c r="Q199" s="52"/>
      <c r="T199" s="46"/>
      <c r="U199" s="54"/>
      <c r="W199" s="46"/>
      <c r="X199" s="46"/>
    </row>
    <row r="200" spans="2:24">
      <c r="B200" s="46"/>
      <c r="D200" s="47"/>
      <c r="F200" s="48"/>
      <c r="G200" s="49"/>
      <c r="H200" s="50"/>
      <c r="J200" s="51"/>
      <c r="Q200" s="52"/>
      <c r="T200" s="46"/>
      <c r="U200" s="54"/>
      <c r="W200" s="46"/>
      <c r="X200" s="46"/>
    </row>
    <row r="201" spans="2:24">
      <c r="B201" s="46"/>
      <c r="D201" s="47"/>
      <c r="F201" s="48"/>
      <c r="G201" s="49"/>
      <c r="H201" s="50"/>
      <c r="J201" s="51"/>
      <c r="Q201" s="52"/>
      <c r="T201" s="46"/>
      <c r="U201" s="54"/>
      <c r="W201" s="46"/>
      <c r="X201" s="46"/>
    </row>
    <row r="202" spans="2:24">
      <c r="B202" s="46"/>
      <c r="D202" s="47"/>
      <c r="F202" s="48"/>
      <c r="G202" s="49"/>
      <c r="H202" s="50"/>
      <c r="J202" s="51"/>
      <c r="Q202" s="52"/>
      <c r="T202" s="46"/>
      <c r="U202" s="54"/>
      <c r="W202" s="46"/>
      <c r="X202" s="46"/>
    </row>
    <row r="203" spans="2:24">
      <c r="B203" s="46"/>
      <c r="D203" s="47"/>
      <c r="F203" s="48"/>
      <c r="G203" s="49"/>
      <c r="H203" s="50"/>
      <c r="J203" s="51"/>
      <c r="Q203" s="52"/>
      <c r="T203" s="46"/>
      <c r="U203" s="54"/>
      <c r="W203" s="46"/>
      <c r="X203" s="46"/>
    </row>
    <row r="204" spans="2:24">
      <c r="B204" s="46"/>
      <c r="D204" s="47"/>
      <c r="F204" s="48"/>
      <c r="G204" s="49"/>
      <c r="H204" s="50"/>
      <c r="J204" s="51"/>
      <c r="Q204" s="52"/>
      <c r="T204" s="46"/>
      <c r="U204" s="54"/>
      <c r="W204" s="46"/>
      <c r="X204" s="46"/>
    </row>
    <row r="205" spans="2:24">
      <c r="B205" s="46"/>
      <c r="D205" s="47"/>
      <c r="F205" s="48"/>
      <c r="G205" s="49"/>
      <c r="H205" s="50"/>
      <c r="J205" s="51"/>
      <c r="Q205" s="52"/>
      <c r="T205" s="46"/>
      <c r="U205" s="54"/>
      <c r="W205" s="46"/>
      <c r="X205" s="46"/>
    </row>
    <row r="206" spans="2:24">
      <c r="B206" s="46"/>
      <c r="D206" s="47"/>
      <c r="F206" s="48"/>
      <c r="G206" s="49"/>
      <c r="H206" s="50"/>
      <c r="J206" s="51"/>
      <c r="Q206" s="52"/>
      <c r="T206" s="46"/>
      <c r="U206" s="54"/>
      <c r="W206" s="46"/>
      <c r="X206" s="46"/>
    </row>
    <row r="207" spans="2:24">
      <c r="B207" s="46"/>
      <c r="D207" s="47"/>
      <c r="F207" s="48"/>
      <c r="G207" s="49"/>
      <c r="H207" s="50"/>
      <c r="J207" s="51"/>
      <c r="Q207" s="52"/>
      <c r="T207" s="46"/>
      <c r="U207" s="54"/>
      <c r="W207" s="46"/>
      <c r="X207" s="46"/>
    </row>
    <row r="208" spans="2:24">
      <c r="B208" s="46"/>
      <c r="D208" s="47"/>
      <c r="F208" s="48"/>
      <c r="G208" s="49"/>
      <c r="H208" s="50"/>
      <c r="J208" s="51"/>
      <c r="Q208" s="52"/>
      <c r="T208" s="46"/>
      <c r="U208" s="54"/>
      <c r="W208" s="46"/>
      <c r="X208" s="46"/>
    </row>
    <row r="209" spans="2:24">
      <c r="B209" s="46"/>
      <c r="D209" s="47"/>
      <c r="F209" s="48"/>
      <c r="G209" s="49"/>
      <c r="H209" s="50"/>
      <c r="J209" s="51"/>
      <c r="Q209" s="52"/>
      <c r="T209" s="46"/>
      <c r="U209" s="54"/>
      <c r="W209" s="46"/>
      <c r="X209" s="46"/>
    </row>
    <row r="210" spans="2:24">
      <c r="B210" s="46"/>
      <c r="D210" s="47"/>
      <c r="F210" s="48"/>
      <c r="G210" s="49"/>
      <c r="H210" s="50"/>
      <c r="J210" s="51"/>
      <c r="Q210" s="52"/>
      <c r="T210" s="46"/>
      <c r="U210" s="54"/>
      <c r="W210" s="46"/>
      <c r="X210" s="46"/>
    </row>
    <row r="211" spans="2:24">
      <c r="B211" s="46"/>
      <c r="D211" s="47"/>
      <c r="F211" s="48"/>
      <c r="G211" s="49"/>
      <c r="H211" s="50"/>
      <c r="J211" s="51"/>
      <c r="Q211" s="52"/>
      <c r="T211" s="46"/>
      <c r="U211" s="54"/>
      <c r="W211" s="46"/>
      <c r="X211" s="46"/>
    </row>
    <row r="212" spans="2:24">
      <c r="B212" s="46"/>
      <c r="D212" s="47"/>
      <c r="F212" s="48"/>
      <c r="G212" s="49"/>
      <c r="H212" s="50"/>
      <c r="J212" s="51"/>
      <c r="Q212" s="52"/>
      <c r="T212" s="46"/>
      <c r="U212" s="54"/>
      <c r="W212" s="46"/>
      <c r="X212" s="46"/>
    </row>
    <row r="213" spans="2:24">
      <c r="B213" s="46"/>
      <c r="D213" s="47"/>
      <c r="F213" s="48"/>
      <c r="G213" s="49"/>
      <c r="H213" s="50"/>
      <c r="J213" s="51"/>
      <c r="Q213" s="52"/>
      <c r="T213" s="46"/>
      <c r="U213" s="54"/>
      <c r="W213" s="46"/>
      <c r="X213" s="46"/>
    </row>
    <row r="214" spans="2:24">
      <c r="B214" s="46"/>
      <c r="D214" s="47"/>
      <c r="F214" s="48"/>
      <c r="G214" s="49"/>
      <c r="H214" s="50"/>
      <c r="J214" s="51"/>
      <c r="Q214" s="52"/>
      <c r="T214" s="46"/>
      <c r="U214" s="54"/>
      <c r="W214" s="46"/>
      <c r="X214" s="46"/>
    </row>
    <row r="215" spans="2:24">
      <c r="B215" s="46"/>
      <c r="D215" s="47"/>
      <c r="F215" s="48"/>
      <c r="G215" s="49"/>
      <c r="H215" s="50"/>
      <c r="J215" s="51"/>
      <c r="Q215" s="52"/>
      <c r="T215" s="46"/>
      <c r="U215" s="54"/>
      <c r="W215" s="46"/>
      <c r="X215" s="46"/>
    </row>
    <row r="216" spans="2:24">
      <c r="B216" s="46"/>
      <c r="D216" s="47"/>
      <c r="F216" s="48"/>
      <c r="G216" s="49"/>
      <c r="H216" s="50"/>
      <c r="J216" s="51"/>
      <c r="Q216" s="52"/>
      <c r="T216" s="46"/>
      <c r="U216" s="54"/>
      <c r="W216" s="46"/>
      <c r="X216" s="46"/>
    </row>
    <row r="217" spans="2:24">
      <c r="B217" s="46"/>
      <c r="D217" s="47"/>
      <c r="F217" s="48"/>
      <c r="G217" s="49"/>
      <c r="H217" s="50"/>
      <c r="J217" s="51"/>
      <c r="Q217" s="52"/>
      <c r="T217" s="46"/>
      <c r="U217" s="54"/>
      <c r="W217" s="46"/>
      <c r="X217" s="46"/>
    </row>
    <row r="218" spans="2:24">
      <c r="B218" s="46"/>
      <c r="D218" s="47"/>
      <c r="F218" s="48"/>
      <c r="G218" s="49"/>
      <c r="H218" s="50"/>
      <c r="J218" s="51"/>
      <c r="Q218" s="52"/>
      <c r="T218" s="46"/>
      <c r="U218" s="54"/>
      <c r="W218" s="46"/>
      <c r="X218" s="46"/>
    </row>
    <row r="219" spans="2:24">
      <c r="B219" s="46"/>
      <c r="D219" s="47"/>
      <c r="F219" s="48"/>
      <c r="G219" s="49"/>
      <c r="H219" s="50"/>
      <c r="J219" s="51"/>
      <c r="Q219" s="52"/>
      <c r="T219" s="46"/>
      <c r="U219" s="54"/>
      <c r="W219" s="46"/>
      <c r="X219" s="46"/>
    </row>
    <row r="220" spans="2:24">
      <c r="B220" s="46"/>
      <c r="D220" s="47"/>
      <c r="F220" s="48"/>
      <c r="G220" s="49"/>
      <c r="H220" s="50"/>
      <c r="J220" s="51"/>
      <c r="Q220" s="52"/>
      <c r="T220" s="46"/>
      <c r="U220" s="54"/>
      <c r="W220" s="46"/>
      <c r="X220" s="46"/>
    </row>
    <row r="221" spans="2:24">
      <c r="B221" s="46"/>
      <c r="D221" s="47"/>
      <c r="F221" s="48"/>
      <c r="G221" s="49"/>
      <c r="H221" s="50"/>
      <c r="J221" s="51"/>
      <c r="Q221" s="52"/>
      <c r="T221" s="46"/>
      <c r="U221" s="54"/>
      <c r="W221" s="46"/>
      <c r="X221" s="46"/>
    </row>
    <row r="222" spans="2:24">
      <c r="B222" s="46"/>
      <c r="D222" s="47"/>
      <c r="F222" s="48"/>
      <c r="G222" s="49"/>
      <c r="H222" s="50"/>
      <c r="J222" s="51"/>
      <c r="Q222" s="52"/>
      <c r="T222" s="46"/>
      <c r="U222" s="54"/>
      <c r="W222" s="46"/>
      <c r="X222" s="46"/>
    </row>
    <row r="223" spans="2:24">
      <c r="B223" s="46"/>
      <c r="D223" s="47"/>
      <c r="F223" s="48"/>
      <c r="G223" s="49"/>
      <c r="H223" s="50"/>
      <c r="J223" s="51"/>
      <c r="Q223" s="52"/>
      <c r="T223" s="46"/>
      <c r="U223" s="54"/>
      <c r="W223" s="46"/>
      <c r="X223" s="46"/>
    </row>
    <row r="224" spans="2:24">
      <c r="B224" s="46"/>
      <c r="D224" s="47"/>
      <c r="F224" s="48"/>
      <c r="G224" s="49"/>
      <c r="H224" s="50"/>
      <c r="J224" s="51"/>
      <c r="Q224" s="52"/>
      <c r="T224" s="46"/>
      <c r="U224" s="54"/>
      <c r="W224" s="46"/>
      <c r="X224" s="46"/>
    </row>
    <row r="225" spans="2:24">
      <c r="B225" s="46"/>
      <c r="D225" s="47"/>
      <c r="F225" s="48"/>
      <c r="G225" s="49"/>
      <c r="H225" s="50"/>
      <c r="J225" s="51"/>
      <c r="Q225" s="52"/>
      <c r="T225" s="46"/>
      <c r="U225" s="54"/>
      <c r="W225" s="46"/>
      <c r="X225" s="46"/>
    </row>
    <row r="226" spans="2:24">
      <c r="B226" s="46"/>
      <c r="D226" s="47"/>
      <c r="F226" s="48"/>
      <c r="G226" s="49"/>
      <c r="H226" s="50"/>
      <c r="J226" s="51"/>
      <c r="Q226" s="52"/>
      <c r="T226" s="46"/>
      <c r="U226" s="54"/>
      <c r="W226" s="46"/>
      <c r="X226" s="46"/>
    </row>
    <row r="227" spans="2:24">
      <c r="B227" s="46"/>
      <c r="D227" s="47"/>
      <c r="F227" s="48"/>
      <c r="G227" s="49"/>
      <c r="H227" s="50"/>
      <c r="J227" s="51"/>
      <c r="Q227" s="52"/>
      <c r="T227" s="46"/>
      <c r="U227" s="54"/>
      <c r="W227" s="46"/>
      <c r="X227" s="46"/>
    </row>
    <row r="228" spans="2:24">
      <c r="B228" s="46"/>
      <c r="D228" s="47"/>
      <c r="F228" s="48"/>
      <c r="G228" s="49"/>
      <c r="H228" s="50"/>
      <c r="J228" s="51"/>
      <c r="Q228" s="52"/>
      <c r="T228" s="46"/>
      <c r="U228" s="54"/>
      <c r="W228" s="46"/>
      <c r="X228" s="46"/>
    </row>
    <row r="229" spans="2:24">
      <c r="D229" s="47"/>
      <c r="F229" s="48"/>
      <c r="G229" s="49"/>
      <c r="H229" s="50"/>
      <c r="Q229" s="52"/>
      <c r="U229" s="54"/>
      <c r="W229" s="46"/>
      <c r="X229" s="46"/>
    </row>
    <row r="230" spans="2:24">
      <c r="D230" s="47"/>
      <c r="F230" s="48"/>
      <c r="G230" s="49"/>
      <c r="H230" s="50"/>
      <c r="Q230" s="52"/>
      <c r="U230" s="54"/>
      <c r="W230" s="46"/>
      <c r="X230" s="46"/>
    </row>
    <row r="231" spans="2:24">
      <c r="D231" s="47"/>
      <c r="F231" s="48"/>
      <c r="G231" s="49"/>
      <c r="H231" s="50"/>
      <c r="Q231" s="52"/>
      <c r="U231" s="54"/>
      <c r="W231" s="46"/>
      <c r="X231" s="46"/>
    </row>
    <row r="232" spans="2:24">
      <c r="D232" s="47"/>
      <c r="F232" s="48"/>
      <c r="G232" s="49"/>
      <c r="H232" s="50"/>
      <c r="Q232" s="52"/>
      <c r="U232" s="54"/>
      <c r="W232" s="46"/>
      <c r="X232" s="46"/>
    </row>
    <row r="233" spans="2:24" ht="11.25" customHeight="1">
      <c r="F233" s="48"/>
      <c r="G233" s="49"/>
      <c r="H233" s="50"/>
      <c r="I233" s="45" t="s">
        <v>205</v>
      </c>
      <c r="J233" s="45" t="s">
        <v>205</v>
      </c>
      <c r="M233" s="45" t="s">
        <v>205</v>
      </c>
      <c r="N233" s="45" t="s">
        <v>205</v>
      </c>
      <c r="O233" s="45" t="s">
        <v>205</v>
      </c>
      <c r="Q233" s="52" t="s">
        <v>206</v>
      </c>
      <c r="R233" s="53" t="s">
        <v>205</v>
      </c>
      <c r="S233" s="45" t="s">
        <v>205</v>
      </c>
      <c r="T233" s="45" t="s">
        <v>205</v>
      </c>
      <c r="U233" s="54" t="s">
        <v>205</v>
      </c>
      <c r="V233" s="55" t="s">
        <v>205</v>
      </c>
      <c r="W233" s="46" t="s">
        <v>205</v>
      </c>
      <c r="X233" s="46" t="s">
        <v>206</v>
      </c>
    </row>
  </sheetData>
  <phoneticPr fontId="6"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8"/>
  <sheetViews>
    <sheetView tabSelected="1" view="pageBreakPreview" topLeftCell="A25" zoomScale="80" zoomScaleNormal="100" zoomScaleSheetLayoutView="80" workbookViewId="0">
      <selection activeCell="C1" sqref="C1:E5"/>
    </sheetView>
  </sheetViews>
  <sheetFormatPr defaultRowHeight="16.5"/>
  <cols>
    <col min="1" max="1" width="4.875" customWidth="1"/>
    <col min="2" max="2" width="22" customWidth="1"/>
    <col min="3" max="3" width="9.375" style="60" bestFit="1" customWidth="1"/>
    <col min="4" max="4" width="13.75" style="60" bestFit="1" customWidth="1"/>
    <col min="5" max="5" width="74.25" style="79" customWidth="1"/>
    <col min="6" max="6" width="8.375" style="101" customWidth="1"/>
    <col min="7" max="7" width="8.875" customWidth="1"/>
    <col min="8" max="8" width="12.125" customWidth="1"/>
    <col min="9" max="9" width="7" customWidth="1"/>
    <col min="10" max="10" width="11.5" customWidth="1"/>
    <col min="11" max="11" width="15.875" style="37" customWidth="1"/>
    <col min="12" max="12" width="79.75" style="116" customWidth="1"/>
  </cols>
  <sheetData>
    <row r="1" spans="1:12" s="1" customFormat="1" ht="15.75" customHeight="1">
      <c r="A1" s="179" t="s">
        <v>0</v>
      </c>
      <c r="B1" s="179"/>
      <c r="C1" s="180" t="s">
        <v>503</v>
      </c>
      <c r="D1" s="181"/>
      <c r="E1" s="182"/>
      <c r="F1" s="118"/>
      <c r="G1" s="100" t="s">
        <v>1</v>
      </c>
      <c r="H1" s="97" t="s">
        <v>428</v>
      </c>
      <c r="I1" s="105"/>
      <c r="J1" s="95"/>
      <c r="K1" s="95"/>
      <c r="L1" s="96"/>
    </row>
    <row r="2" spans="1:12" s="1" customFormat="1" ht="15.75" customHeight="1">
      <c r="A2" s="179"/>
      <c r="B2" s="179"/>
      <c r="C2" s="183"/>
      <c r="D2" s="184"/>
      <c r="E2" s="185"/>
      <c r="F2" s="118"/>
      <c r="G2" s="100" t="s">
        <v>2</v>
      </c>
      <c r="H2" s="97" t="s">
        <v>3</v>
      </c>
      <c r="I2" s="106"/>
      <c r="J2" s="95"/>
      <c r="K2" s="95"/>
      <c r="L2" s="96"/>
    </row>
    <row r="3" spans="1:12" s="1" customFormat="1" ht="15.75" customHeight="1">
      <c r="A3" s="179"/>
      <c r="B3" s="179"/>
      <c r="C3" s="183"/>
      <c r="D3" s="184"/>
      <c r="E3" s="185"/>
      <c r="F3" s="118"/>
      <c r="G3" s="100" t="s">
        <v>4</v>
      </c>
      <c r="H3" s="97" t="s">
        <v>429</v>
      </c>
      <c r="I3" s="106"/>
      <c r="J3" s="95"/>
      <c r="K3" s="95"/>
      <c r="L3" s="96"/>
    </row>
    <row r="4" spans="1:12" s="1" customFormat="1" ht="15.75" customHeight="1">
      <c r="A4" s="179"/>
      <c r="B4" s="179"/>
      <c r="C4" s="183"/>
      <c r="D4" s="184"/>
      <c r="E4" s="185"/>
      <c r="F4" s="118"/>
      <c r="G4" s="100" t="s">
        <v>5</v>
      </c>
      <c r="H4" s="97" t="s">
        <v>430</v>
      </c>
      <c r="I4" s="106"/>
      <c r="J4" s="95"/>
      <c r="K4" s="95"/>
      <c r="L4" s="96"/>
    </row>
    <row r="5" spans="1:12" s="1" customFormat="1" ht="15.75" customHeight="1">
      <c r="A5" s="179"/>
      <c r="B5" s="179"/>
      <c r="C5" s="186"/>
      <c r="D5" s="187"/>
      <c r="E5" s="188"/>
      <c r="F5" s="118"/>
      <c r="G5" s="100" t="s">
        <v>6</v>
      </c>
      <c r="H5" s="97" t="s">
        <v>431</v>
      </c>
      <c r="I5" s="105"/>
      <c r="J5" s="95"/>
      <c r="K5" s="95"/>
      <c r="L5" s="96"/>
    </row>
    <row r="6" spans="1:12" s="4" customFormat="1" ht="36.75" customHeight="1">
      <c r="A6" s="87" t="s">
        <v>7</v>
      </c>
      <c r="B6" s="87" t="s">
        <v>8</v>
      </c>
      <c r="C6" s="98" t="s">
        <v>427</v>
      </c>
      <c r="D6" s="99" t="s">
        <v>349</v>
      </c>
      <c r="E6" s="99" t="s">
        <v>307</v>
      </c>
      <c r="F6" s="99"/>
      <c r="G6" s="88" t="s">
        <v>10</v>
      </c>
      <c r="H6" s="88" t="s">
        <v>11</v>
      </c>
      <c r="I6" s="88" t="s">
        <v>9</v>
      </c>
      <c r="J6" s="2" t="s">
        <v>12</v>
      </c>
      <c r="K6" s="3" t="s">
        <v>13</v>
      </c>
      <c r="L6" s="64" t="s">
        <v>14</v>
      </c>
    </row>
    <row r="7" spans="1:12" s="62" customFormat="1">
      <c r="A7" s="5">
        <v>1</v>
      </c>
      <c r="B7" s="6" t="s">
        <v>15</v>
      </c>
      <c r="C7" s="61" t="s">
        <v>305</v>
      </c>
      <c r="D7" s="61" t="s">
        <v>305</v>
      </c>
      <c r="E7" s="80" t="s">
        <v>305</v>
      </c>
      <c r="F7" s="80"/>
      <c r="G7" s="7" t="s">
        <v>17</v>
      </c>
      <c r="H7" s="7">
        <v>4</v>
      </c>
      <c r="I7" s="5" t="s">
        <v>16</v>
      </c>
      <c r="J7" s="67" t="s">
        <v>18</v>
      </c>
      <c r="K7" s="9" t="s">
        <v>19</v>
      </c>
      <c r="L7" s="63"/>
    </row>
    <row r="8" spans="1:12" s="62" customFormat="1">
      <c r="A8" s="5">
        <v>2</v>
      </c>
      <c r="B8" s="6" t="s">
        <v>20</v>
      </c>
      <c r="C8" s="61" t="s">
        <v>305</v>
      </c>
      <c r="D8" s="61" t="s">
        <v>305</v>
      </c>
      <c r="E8" s="80" t="s">
        <v>305</v>
      </c>
      <c r="F8" s="80"/>
      <c r="G8" s="7" t="s">
        <v>22</v>
      </c>
      <c r="H8" s="7">
        <v>4</v>
      </c>
      <c r="I8" s="5" t="s">
        <v>21</v>
      </c>
      <c r="J8" s="67" t="s">
        <v>23</v>
      </c>
      <c r="K8" s="9"/>
      <c r="L8" s="63" t="s">
        <v>24</v>
      </c>
    </row>
    <row r="9" spans="1:12" s="62" customFormat="1" ht="15.75" customHeight="1">
      <c r="A9" s="5">
        <v>5</v>
      </c>
      <c r="B9" s="6" t="s">
        <v>32</v>
      </c>
      <c r="C9" s="61" t="s">
        <v>305</v>
      </c>
      <c r="D9" s="61" t="s">
        <v>305</v>
      </c>
      <c r="E9" s="80" t="s">
        <v>305</v>
      </c>
      <c r="F9" s="80"/>
      <c r="G9" s="5" t="s">
        <v>34</v>
      </c>
      <c r="H9" s="5">
        <v>8</v>
      </c>
      <c r="I9" s="5" t="s">
        <v>33</v>
      </c>
      <c r="J9" s="67" t="s">
        <v>18</v>
      </c>
      <c r="K9" s="9"/>
      <c r="L9" s="59" t="s">
        <v>35</v>
      </c>
    </row>
    <row r="10" spans="1:12" s="62" customFormat="1">
      <c r="A10" s="5">
        <v>6</v>
      </c>
      <c r="B10" s="6" t="s">
        <v>36</v>
      </c>
      <c r="C10" s="61" t="s">
        <v>305</v>
      </c>
      <c r="D10" s="61" t="s">
        <v>305</v>
      </c>
      <c r="E10" s="80" t="s">
        <v>305</v>
      </c>
      <c r="F10" s="80"/>
      <c r="G10" s="5" t="s">
        <v>34</v>
      </c>
      <c r="H10" s="5">
        <v>8</v>
      </c>
      <c r="I10" s="5" t="s">
        <v>16</v>
      </c>
      <c r="J10" s="67" t="s">
        <v>18</v>
      </c>
      <c r="K10" s="9"/>
      <c r="L10" s="65" t="s">
        <v>37</v>
      </c>
    </row>
    <row r="11" spans="1:12" s="62" customFormat="1">
      <c r="A11" s="5">
        <v>7</v>
      </c>
      <c r="B11" s="6" t="s">
        <v>38</v>
      </c>
      <c r="C11" s="61" t="s">
        <v>305</v>
      </c>
      <c r="D11" s="61" t="s">
        <v>305</v>
      </c>
      <c r="E11" s="80" t="s">
        <v>305</v>
      </c>
      <c r="F11" s="80"/>
      <c r="G11" s="5" t="s">
        <v>39</v>
      </c>
      <c r="H11" s="5">
        <v>2</v>
      </c>
      <c r="I11" s="5" t="s">
        <v>33</v>
      </c>
      <c r="J11" s="67" t="s">
        <v>18</v>
      </c>
      <c r="K11" s="9"/>
      <c r="L11" s="65" t="s">
        <v>40</v>
      </c>
    </row>
    <row r="12" spans="1:12" s="62" customFormat="1">
      <c r="A12" s="5">
        <v>9</v>
      </c>
      <c r="B12" s="6" t="s">
        <v>44</v>
      </c>
      <c r="C12" s="61" t="s">
        <v>305</v>
      </c>
      <c r="D12" s="61" t="s">
        <v>305</v>
      </c>
      <c r="E12" s="80" t="s">
        <v>305</v>
      </c>
      <c r="F12" s="80"/>
      <c r="G12" s="5" t="s">
        <v>26</v>
      </c>
      <c r="H12" s="5">
        <v>6</v>
      </c>
      <c r="I12" s="5" t="s">
        <v>33</v>
      </c>
      <c r="J12" s="67" t="s">
        <v>27</v>
      </c>
      <c r="K12" s="9"/>
      <c r="L12" s="65" t="s">
        <v>40</v>
      </c>
    </row>
    <row r="13" spans="1:12" s="62" customFormat="1">
      <c r="A13" s="89">
        <v>4</v>
      </c>
      <c r="B13" s="90" t="s">
        <v>29</v>
      </c>
      <c r="C13" s="81" t="s">
        <v>306</v>
      </c>
      <c r="D13" s="81">
        <v>1</v>
      </c>
      <c r="E13" s="82" t="s">
        <v>324</v>
      </c>
      <c r="F13" s="82"/>
      <c r="G13" s="91" t="s">
        <v>30</v>
      </c>
      <c r="H13" s="91">
        <v>1</v>
      </c>
      <c r="I13" s="89" t="s">
        <v>16</v>
      </c>
      <c r="J13" s="67" t="s">
        <v>18</v>
      </c>
      <c r="K13" s="9" t="s">
        <v>31</v>
      </c>
      <c r="L13" s="63"/>
    </row>
    <row r="14" spans="1:12" s="62" customFormat="1">
      <c r="A14" s="89">
        <v>3</v>
      </c>
      <c r="B14" s="90" t="s">
        <v>25</v>
      </c>
      <c r="C14" s="81" t="s">
        <v>308</v>
      </c>
      <c r="D14" s="83" t="s">
        <v>325</v>
      </c>
      <c r="E14" s="84" t="s">
        <v>326</v>
      </c>
      <c r="F14" s="84"/>
      <c r="G14" s="91" t="s">
        <v>26</v>
      </c>
      <c r="H14" s="91">
        <v>6</v>
      </c>
      <c r="I14" s="89" t="s">
        <v>16</v>
      </c>
      <c r="J14" s="67" t="s">
        <v>27</v>
      </c>
      <c r="K14" s="9"/>
      <c r="L14" s="63" t="s">
        <v>28</v>
      </c>
    </row>
    <row r="15" spans="1:12" s="62" customFormat="1">
      <c r="A15" s="89">
        <v>8</v>
      </c>
      <c r="B15" s="90" t="s">
        <v>41</v>
      </c>
      <c r="C15" s="81" t="s">
        <v>309</v>
      </c>
      <c r="D15" s="81">
        <v>1</v>
      </c>
      <c r="E15" s="82" t="s">
        <v>432</v>
      </c>
      <c r="F15" s="82"/>
      <c r="G15" s="89" t="s">
        <v>30</v>
      </c>
      <c r="H15" s="89">
        <v>1</v>
      </c>
      <c r="I15" s="89" t="s">
        <v>16</v>
      </c>
      <c r="J15" s="67" t="s">
        <v>18</v>
      </c>
      <c r="K15" s="9" t="s">
        <v>42</v>
      </c>
      <c r="L15" s="65" t="s">
        <v>43</v>
      </c>
    </row>
    <row r="16" spans="1:12" s="62" customFormat="1" ht="114.75" customHeight="1">
      <c r="A16" s="89">
        <v>10</v>
      </c>
      <c r="B16" s="90" t="s">
        <v>45</v>
      </c>
      <c r="C16" s="81" t="s">
        <v>310</v>
      </c>
      <c r="D16" s="85" t="s">
        <v>447</v>
      </c>
      <c r="E16" s="86" t="s">
        <v>436</v>
      </c>
      <c r="F16" s="86"/>
      <c r="G16" s="89" t="s">
        <v>39</v>
      </c>
      <c r="H16" s="89">
        <v>2</v>
      </c>
      <c r="I16" s="89" t="s">
        <v>16</v>
      </c>
      <c r="J16" s="67" t="s">
        <v>18</v>
      </c>
      <c r="K16" s="9" t="s">
        <v>46</v>
      </c>
      <c r="L16" s="65" t="s">
        <v>433</v>
      </c>
    </row>
    <row r="17" spans="1:12" s="62" customFormat="1" ht="20.25" customHeight="1">
      <c r="A17" s="89">
        <v>11</v>
      </c>
      <c r="B17" s="90" t="s">
        <v>47</v>
      </c>
      <c r="C17" s="81" t="s">
        <v>311</v>
      </c>
      <c r="D17" s="81" t="s">
        <v>446</v>
      </c>
      <c r="E17" s="82" t="s">
        <v>312</v>
      </c>
      <c r="F17" s="82"/>
      <c r="G17" s="89" t="s">
        <v>48</v>
      </c>
      <c r="H17" s="89">
        <v>5</v>
      </c>
      <c r="I17" s="89" t="s">
        <v>16</v>
      </c>
      <c r="J17" s="67" t="s">
        <v>18</v>
      </c>
      <c r="K17" s="9"/>
      <c r="L17" s="63"/>
    </row>
    <row r="18" spans="1:12" s="62" customFormat="1" ht="127.5" customHeight="1">
      <c r="A18" s="89">
        <v>12</v>
      </c>
      <c r="B18" s="92" t="s">
        <v>49</v>
      </c>
      <c r="C18" s="81" t="s">
        <v>313</v>
      </c>
      <c r="D18" s="81" t="s">
        <v>445</v>
      </c>
      <c r="E18" s="86" t="s">
        <v>434</v>
      </c>
      <c r="F18" s="86"/>
      <c r="G18" s="89" t="s">
        <v>17</v>
      </c>
      <c r="H18" s="89">
        <v>4</v>
      </c>
      <c r="I18" s="89" t="s">
        <v>16</v>
      </c>
      <c r="J18" s="67" t="s">
        <v>27</v>
      </c>
      <c r="K18" s="9" t="s">
        <v>50</v>
      </c>
      <c r="L18" s="63" t="s">
        <v>51</v>
      </c>
    </row>
    <row r="19" spans="1:12" s="62" customFormat="1" ht="150.75" customHeight="1">
      <c r="A19" s="89">
        <v>13</v>
      </c>
      <c r="B19" s="92" t="s">
        <v>137</v>
      </c>
      <c r="C19" s="81" t="s">
        <v>314</v>
      </c>
      <c r="D19" s="81" t="s">
        <v>445</v>
      </c>
      <c r="E19" s="86" t="s">
        <v>435</v>
      </c>
      <c r="F19" s="86"/>
      <c r="G19" s="89" t="s">
        <v>17</v>
      </c>
      <c r="H19" s="89">
        <v>4</v>
      </c>
      <c r="I19" s="89" t="s">
        <v>16</v>
      </c>
      <c r="J19" s="67" t="s">
        <v>27</v>
      </c>
      <c r="K19" s="9" t="s">
        <v>50</v>
      </c>
      <c r="L19" s="65" t="s">
        <v>51</v>
      </c>
    </row>
    <row r="20" spans="1:12" s="62" customFormat="1" ht="156.75" customHeight="1">
      <c r="A20" s="89">
        <v>14</v>
      </c>
      <c r="B20" s="92" t="s">
        <v>52</v>
      </c>
      <c r="C20" s="81" t="s">
        <v>315</v>
      </c>
      <c r="D20" s="85" t="s">
        <v>316</v>
      </c>
      <c r="E20" s="86" t="s">
        <v>440</v>
      </c>
      <c r="F20" s="86"/>
      <c r="G20" s="89" t="s">
        <v>53</v>
      </c>
      <c r="H20" s="89">
        <v>16</v>
      </c>
      <c r="I20" s="89" t="s">
        <v>16</v>
      </c>
      <c r="J20" s="67" t="s">
        <v>27</v>
      </c>
      <c r="K20" s="9"/>
      <c r="L20" s="63" t="s">
        <v>441</v>
      </c>
    </row>
    <row r="21" spans="1:12" s="62" customFormat="1" ht="123" customHeight="1">
      <c r="A21" s="89">
        <v>15</v>
      </c>
      <c r="B21" s="90" t="s">
        <v>54</v>
      </c>
      <c r="C21" s="81" t="s">
        <v>317</v>
      </c>
      <c r="D21" s="81" t="s">
        <v>318</v>
      </c>
      <c r="E21" s="86" t="s">
        <v>320</v>
      </c>
      <c r="F21" s="86"/>
      <c r="G21" s="89" t="s">
        <v>55</v>
      </c>
      <c r="H21" s="89">
        <v>3</v>
      </c>
      <c r="I21" s="89" t="s">
        <v>16</v>
      </c>
      <c r="J21" s="67" t="s">
        <v>27</v>
      </c>
      <c r="K21" s="10" t="s">
        <v>56</v>
      </c>
      <c r="L21" s="177" t="s">
        <v>442</v>
      </c>
    </row>
    <row r="22" spans="1:12" s="62" customFormat="1" ht="112.5" customHeight="1">
      <c r="A22" s="89">
        <v>16</v>
      </c>
      <c r="B22" s="90" t="s">
        <v>57</v>
      </c>
      <c r="C22" s="81" t="s">
        <v>321</v>
      </c>
      <c r="D22" s="81" t="s">
        <v>318</v>
      </c>
      <c r="E22" s="86" t="s">
        <v>319</v>
      </c>
      <c r="F22" s="86"/>
      <c r="G22" s="89" t="s">
        <v>55</v>
      </c>
      <c r="H22" s="89">
        <v>3</v>
      </c>
      <c r="I22" s="89" t="s">
        <v>16</v>
      </c>
      <c r="J22" s="67" t="s">
        <v>27</v>
      </c>
      <c r="K22" s="11" t="s">
        <v>56</v>
      </c>
      <c r="L22" s="178"/>
    </row>
    <row r="23" spans="1:12" s="62" customFormat="1" ht="57.75" customHeight="1">
      <c r="A23" s="89">
        <v>17</v>
      </c>
      <c r="B23" s="90" t="s">
        <v>58</v>
      </c>
      <c r="C23" s="81" t="s">
        <v>322</v>
      </c>
      <c r="D23" s="81" t="s">
        <v>444</v>
      </c>
      <c r="E23" s="82" t="s">
        <v>323</v>
      </c>
      <c r="F23" s="82"/>
      <c r="G23" s="89" t="s">
        <v>26</v>
      </c>
      <c r="H23" s="89">
        <v>6</v>
      </c>
      <c r="I23" s="89" t="s">
        <v>16</v>
      </c>
      <c r="J23" s="67" t="s">
        <v>27</v>
      </c>
      <c r="K23" s="10"/>
      <c r="L23" s="63" t="s">
        <v>443</v>
      </c>
    </row>
    <row r="24" spans="1:12" s="62" customFormat="1">
      <c r="A24" s="89">
        <v>18</v>
      </c>
      <c r="B24" s="90" t="s">
        <v>59</v>
      </c>
      <c r="C24" s="81" t="s">
        <v>328</v>
      </c>
      <c r="D24" s="81">
        <v>1</v>
      </c>
      <c r="E24" s="82" t="s">
        <v>327</v>
      </c>
      <c r="F24" s="82"/>
      <c r="G24" s="89" t="s">
        <v>30</v>
      </c>
      <c r="H24" s="89">
        <v>1</v>
      </c>
      <c r="I24" s="89" t="s">
        <v>16</v>
      </c>
      <c r="J24" s="67" t="s">
        <v>27</v>
      </c>
      <c r="K24" s="9" t="s">
        <v>60</v>
      </c>
      <c r="L24" s="63" t="s">
        <v>61</v>
      </c>
    </row>
    <row r="25" spans="1:12" s="62" customFormat="1" ht="58.5" customHeight="1">
      <c r="A25" s="89">
        <v>19</v>
      </c>
      <c r="B25" s="90" t="s">
        <v>62</v>
      </c>
      <c r="C25" s="81" t="s">
        <v>331</v>
      </c>
      <c r="D25" s="81" t="s">
        <v>330</v>
      </c>
      <c r="E25" s="86" t="s">
        <v>332</v>
      </c>
      <c r="F25" s="86"/>
      <c r="G25" s="89" t="s">
        <v>34</v>
      </c>
      <c r="H25" s="89">
        <v>8</v>
      </c>
      <c r="I25" s="89" t="s">
        <v>63</v>
      </c>
      <c r="J25" s="67" t="s">
        <v>27</v>
      </c>
      <c r="K25" s="11"/>
      <c r="L25" s="65" t="s">
        <v>329</v>
      </c>
    </row>
    <row r="26" spans="1:12" s="62" customFormat="1" ht="99.75" customHeight="1">
      <c r="A26" s="89">
        <v>20</v>
      </c>
      <c r="B26" s="92" t="s">
        <v>64</v>
      </c>
      <c r="C26" s="81" t="s">
        <v>333</v>
      </c>
      <c r="D26" s="81" t="s">
        <v>330</v>
      </c>
      <c r="E26" s="86" t="s">
        <v>449</v>
      </c>
      <c r="F26" s="86"/>
      <c r="G26" s="89" t="s">
        <v>34</v>
      </c>
      <c r="H26" s="89">
        <v>8</v>
      </c>
      <c r="I26" s="89" t="s">
        <v>63</v>
      </c>
      <c r="J26" s="67" t="s">
        <v>27</v>
      </c>
      <c r="K26" s="9"/>
      <c r="L26" s="65" t="s">
        <v>65</v>
      </c>
    </row>
    <row r="27" spans="1:12" s="62" customFormat="1" ht="101.25" customHeight="1">
      <c r="A27" s="89">
        <v>21</v>
      </c>
      <c r="B27" s="90" t="s">
        <v>66</v>
      </c>
      <c r="C27" s="81" t="s">
        <v>334</v>
      </c>
      <c r="D27" s="81" t="s">
        <v>330</v>
      </c>
      <c r="E27" s="86" t="s">
        <v>448</v>
      </c>
      <c r="F27" s="86"/>
      <c r="G27" s="89" t="s">
        <v>34</v>
      </c>
      <c r="H27" s="89">
        <v>8</v>
      </c>
      <c r="I27" s="89" t="s">
        <v>63</v>
      </c>
      <c r="J27" s="67" t="s">
        <v>27</v>
      </c>
      <c r="K27" s="9"/>
      <c r="L27" s="65" t="s">
        <v>67</v>
      </c>
    </row>
    <row r="28" spans="1:12" s="62" customFormat="1" ht="40.5" customHeight="1">
      <c r="A28" s="89">
        <v>22</v>
      </c>
      <c r="B28" s="90" t="s">
        <v>68</v>
      </c>
      <c r="C28" s="81" t="s">
        <v>437</v>
      </c>
      <c r="D28" s="81" t="s">
        <v>330</v>
      </c>
      <c r="E28" s="86" t="s">
        <v>438</v>
      </c>
      <c r="F28" s="86"/>
      <c r="G28" s="89" t="s">
        <v>34</v>
      </c>
      <c r="H28" s="89">
        <v>8</v>
      </c>
      <c r="I28" s="89" t="s">
        <v>63</v>
      </c>
      <c r="J28" s="67" t="s">
        <v>27</v>
      </c>
      <c r="K28" s="9"/>
      <c r="L28" s="65" t="s">
        <v>69</v>
      </c>
    </row>
    <row r="29" spans="1:12" s="62" customFormat="1" ht="249" customHeight="1">
      <c r="A29" s="89">
        <v>23</v>
      </c>
      <c r="B29" s="90" t="s">
        <v>70</v>
      </c>
      <c r="C29" s="81" t="s">
        <v>336</v>
      </c>
      <c r="D29" s="81" t="s">
        <v>447</v>
      </c>
      <c r="E29" s="86" t="s">
        <v>450</v>
      </c>
      <c r="F29" s="86"/>
      <c r="G29" s="89" t="s">
        <v>39</v>
      </c>
      <c r="H29" s="89">
        <v>2</v>
      </c>
      <c r="I29" s="89" t="s">
        <v>63</v>
      </c>
      <c r="J29" s="67" t="s">
        <v>27</v>
      </c>
      <c r="K29" s="9" t="s">
        <v>71</v>
      </c>
      <c r="L29" s="65" t="s">
        <v>72</v>
      </c>
    </row>
    <row r="30" spans="1:12" s="62" customFormat="1" ht="101.25" customHeight="1">
      <c r="A30" s="89">
        <v>24</v>
      </c>
      <c r="B30" s="90" t="s">
        <v>73</v>
      </c>
      <c r="C30" s="81" t="s">
        <v>337</v>
      </c>
      <c r="D30" s="81"/>
      <c r="E30" s="86" t="s">
        <v>338</v>
      </c>
      <c r="F30" s="86"/>
      <c r="G30" s="89" t="s">
        <v>74</v>
      </c>
      <c r="H30" s="89">
        <v>12</v>
      </c>
      <c r="I30" s="89" t="s">
        <v>63</v>
      </c>
      <c r="J30" s="67" t="s">
        <v>27</v>
      </c>
      <c r="K30" s="9"/>
      <c r="L30" s="65" t="s">
        <v>75</v>
      </c>
    </row>
    <row r="31" spans="1:12" s="62" customFormat="1" ht="36.75" customHeight="1">
      <c r="A31" s="89">
        <v>25</v>
      </c>
      <c r="B31" s="90" t="s">
        <v>76</v>
      </c>
      <c r="C31" s="81" t="s">
        <v>341</v>
      </c>
      <c r="D31" s="81"/>
      <c r="E31" s="86" t="s">
        <v>339</v>
      </c>
      <c r="F31" s="86"/>
      <c r="G31" s="89" t="s">
        <v>74</v>
      </c>
      <c r="H31" s="89">
        <v>12</v>
      </c>
      <c r="I31" s="89" t="s">
        <v>63</v>
      </c>
      <c r="J31" s="67" t="s">
        <v>27</v>
      </c>
      <c r="K31" s="9"/>
      <c r="L31" s="65" t="s">
        <v>77</v>
      </c>
    </row>
    <row r="32" spans="1:12" s="62" customFormat="1" ht="36" customHeight="1">
      <c r="A32" s="89">
        <v>26</v>
      </c>
      <c r="B32" s="90" t="s">
        <v>78</v>
      </c>
      <c r="C32" s="81" t="s">
        <v>342</v>
      </c>
      <c r="D32" s="81"/>
      <c r="E32" s="86" t="s">
        <v>340</v>
      </c>
      <c r="F32" s="86"/>
      <c r="G32" s="91" t="s">
        <v>74</v>
      </c>
      <c r="H32" s="89">
        <v>12</v>
      </c>
      <c r="I32" s="89" t="s">
        <v>63</v>
      </c>
      <c r="J32" s="67" t="s">
        <v>27</v>
      </c>
      <c r="K32" s="10"/>
      <c r="L32" s="65" t="s">
        <v>77</v>
      </c>
    </row>
    <row r="33" spans="1:12" s="62" customFormat="1" ht="39" customHeight="1">
      <c r="A33" s="89">
        <v>27</v>
      </c>
      <c r="B33" s="93" t="s">
        <v>79</v>
      </c>
      <c r="C33" s="81" t="s">
        <v>343</v>
      </c>
      <c r="D33" s="81"/>
      <c r="E33" s="86" t="s">
        <v>344</v>
      </c>
      <c r="F33" s="86"/>
      <c r="G33" s="91" t="s">
        <v>74</v>
      </c>
      <c r="H33" s="89">
        <v>12</v>
      </c>
      <c r="I33" s="89" t="s">
        <v>63</v>
      </c>
      <c r="J33" s="67" t="s">
        <v>27</v>
      </c>
      <c r="K33" s="10"/>
      <c r="L33" s="63" t="s">
        <v>80</v>
      </c>
    </row>
    <row r="34" spans="1:12" s="62" customFormat="1" ht="91.5" customHeight="1">
      <c r="A34" s="89">
        <v>28</v>
      </c>
      <c r="B34" s="90" t="s">
        <v>81</v>
      </c>
      <c r="C34" s="81" t="s">
        <v>345</v>
      </c>
      <c r="D34" s="81"/>
      <c r="E34" s="86" t="s">
        <v>439</v>
      </c>
      <c r="F34" s="86"/>
      <c r="G34" s="89" t="s">
        <v>74</v>
      </c>
      <c r="H34" s="89">
        <v>12</v>
      </c>
      <c r="I34" s="89" t="s">
        <v>63</v>
      </c>
      <c r="J34" s="67" t="s">
        <v>27</v>
      </c>
      <c r="K34" s="9" t="s">
        <v>82</v>
      </c>
      <c r="L34" s="65" t="s">
        <v>83</v>
      </c>
    </row>
    <row r="35" spans="1:12" s="62" customFormat="1" ht="162" customHeight="1">
      <c r="A35" s="89">
        <v>29</v>
      </c>
      <c r="B35" s="94" t="s">
        <v>84</v>
      </c>
      <c r="C35" s="81" t="s">
        <v>347</v>
      </c>
      <c r="D35" s="81" t="s">
        <v>451</v>
      </c>
      <c r="E35" s="86" t="s">
        <v>346</v>
      </c>
      <c r="F35" s="86"/>
      <c r="G35" s="89" t="s">
        <v>39</v>
      </c>
      <c r="H35" s="89">
        <v>2</v>
      </c>
      <c r="I35" s="89" t="s">
        <v>63</v>
      </c>
      <c r="J35" s="67" t="s">
        <v>27</v>
      </c>
      <c r="K35" s="14" t="s">
        <v>85</v>
      </c>
      <c r="L35" s="59" t="s">
        <v>86</v>
      </c>
    </row>
    <row r="36" spans="1:12" s="62" customFormat="1" ht="43.5" customHeight="1">
      <c r="A36" s="89">
        <v>30</v>
      </c>
      <c r="B36" s="94" t="s">
        <v>87</v>
      </c>
      <c r="C36" s="81" t="s">
        <v>348</v>
      </c>
      <c r="D36" s="81">
        <v>0</v>
      </c>
      <c r="E36" s="86" t="s">
        <v>472</v>
      </c>
      <c r="F36" s="82"/>
      <c r="G36" s="89" t="s">
        <v>74</v>
      </c>
      <c r="H36" s="89">
        <v>12</v>
      </c>
      <c r="I36" s="89" t="s">
        <v>63</v>
      </c>
      <c r="J36" s="5" t="s">
        <v>27</v>
      </c>
      <c r="K36" s="9" t="s">
        <v>88</v>
      </c>
      <c r="L36" s="59" t="s">
        <v>89</v>
      </c>
    </row>
    <row r="37" spans="1:12" s="62" customFormat="1" ht="24">
      <c r="A37" s="5">
        <v>31</v>
      </c>
      <c r="B37" s="6" t="s">
        <v>90</v>
      </c>
      <c r="C37" s="61" t="s">
        <v>305</v>
      </c>
      <c r="D37" s="61" t="s">
        <v>305</v>
      </c>
      <c r="E37" s="80" t="s">
        <v>305</v>
      </c>
      <c r="F37" s="80"/>
      <c r="G37" s="5" t="s">
        <v>30</v>
      </c>
      <c r="H37" s="5">
        <v>1</v>
      </c>
      <c r="I37" s="5" t="s">
        <v>63</v>
      </c>
      <c r="J37" s="67" t="s">
        <v>27</v>
      </c>
      <c r="K37" s="9" t="s">
        <v>91</v>
      </c>
      <c r="L37" s="65" t="s">
        <v>92</v>
      </c>
    </row>
    <row r="38" spans="1:12" s="62" customFormat="1" ht="24">
      <c r="A38" s="5">
        <v>32</v>
      </c>
      <c r="B38" s="6" t="s">
        <v>93</v>
      </c>
      <c r="C38" s="61" t="s">
        <v>305</v>
      </c>
      <c r="D38" s="61" t="s">
        <v>305</v>
      </c>
      <c r="E38" s="80" t="s">
        <v>305</v>
      </c>
      <c r="F38" s="80"/>
      <c r="G38" s="5" t="s">
        <v>30</v>
      </c>
      <c r="H38" s="5">
        <v>1</v>
      </c>
      <c r="I38" s="5" t="s">
        <v>63</v>
      </c>
      <c r="J38" s="67" t="s">
        <v>27</v>
      </c>
      <c r="K38" s="9"/>
      <c r="L38" s="65" t="s">
        <v>94</v>
      </c>
    </row>
    <row r="39" spans="1:12" s="62" customFormat="1">
      <c r="A39" s="5">
        <v>33</v>
      </c>
      <c r="B39" s="6" t="s">
        <v>95</v>
      </c>
      <c r="C39" s="61" t="s">
        <v>305</v>
      </c>
      <c r="D39" s="61" t="s">
        <v>305</v>
      </c>
      <c r="E39" s="80" t="s">
        <v>305</v>
      </c>
      <c r="F39" s="80"/>
      <c r="G39" s="5" t="s">
        <v>53</v>
      </c>
      <c r="H39" s="5">
        <v>16</v>
      </c>
      <c r="I39" s="5" t="s">
        <v>63</v>
      </c>
      <c r="J39" s="67" t="s">
        <v>27</v>
      </c>
      <c r="K39" s="9"/>
      <c r="L39" s="65" t="s">
        <v>96</v>
      </c>
    </row>
    <row r="40" spans="1:12">
      <c r="A40" s="15"/>
      <c r="B40" s="16"/>
      <c r="C40" s="108"/>
      <c r="D40" s="108"/>
      <c r="E40" s="101"/>
      <c r="G40" s="15"/>
      <c r="H40" s="15"/>
      <c r="I40" s="15"/>
      <c r="J40" s="17"/>
      <c r="K40" s="18"/>
      <c r="L40" s="19"/>
    </row>
    <row r="41" spans="1:12" s="22" customFormat="1" ht="13.5">
      <c r="A41" s="20" t="s">
        <v>97</v>
      </c>
      <c r="B41" s="21"/>
      <c r="C41" s="109"/>
      <c r="D41" s="109"/>
      <c r="E41" s="102"/>
      <c r="F41" s="102"/>
      <c r="G41" s="21"/>
      <c r="H41" s="21"/>
      <c r="I41" s="21"/>
      <c r="J41" s="21"/>
      <c r="K41" s="21"/>
      <c r="L41" s="114"/>
    </row>
    <row r="42" spans="1:12" s="22" customFormat="1" ht="8.25" customHeight="1">
      <c r="A42" s="20"/>
      <c r="B42" s="21"/>
      <c r="C42" s="109"/>
      <c r="D42" s="109"/>
      <c r="E42" s="102"/>
      <c r="F42" s="102"/>
      <c r="G42" s="21"/>
      <c r="H42" s="21"/>
      <c r="I42" s="21"/>
      <c r="J42" s="21"/>
      <c r="K42" s="21"/>
      <c r="L42" s="114"/>
    </row>
    <row r="43" spans="1:12" s="26" customFormat="1" ht="12">
      <c r="A43" s="23" t="s">
        <v>98</v>
      </c>
      <c r="B43" s="24"/>
      <c r="C43" s="110"/>
      <c r="D43" s="110"/>
      <c r="E43" s="103"/>
      <c r="F43" s="103"/>
      <c r="G43" s="24"/>
      <c r="H43" s="24"/>
      <c r="I43" s="24"/>
      <c r="J43" s="24"/>
      <c r="K43" s="24"/>
      <c r="L43" s="115"/>
    </row>
    <row r="44" spans="1:12" s="22" customFormat="1" ht="13.5">
      <c r="A44" s="20"/>
      <c r="B44" s="21"/>
      <c r="C44" s="109"/>
      <c r="D44" s="109"/>
      <c r="E44" s="102"/>
      <c r="F44" s="102"/>
      <c r="G44" s="21"/>
      <c r="H44" s="21"/>
      <c r="I44" s="21"/>
      <c r="J44" s="21"/>
      <c r="K44" s="21"/>
      <c r="L44" s="114"/>
    </row>
    <row r="45" spans="1:12" s="22" customFormat="1" ht="13.5">
      <c r="A45" s="20" t="s">
        <v>99</v>
      </c>
      <c r="B45" s="21"/>
      <c r="C45" s="109"/>
      <c r="D45" s="109"/>
      <c r="E45" s="102"/>
      <c r="F45" s="102"/>
      <c r="G45" s="21"/>
      <c r="H45" s="21"/>
      <c r="I45" s="21"/>
      <c r="J45" s="21"/>
      <c r="K45" s="21"/>
      <c r="L45" s="114"/>
    </row>
    <row r="46" spans="1:12" s="22" customFormat="1" ht="7.5" customHeight="1">
      <c r="A46" s="20"/>
      <c r="B46" s="21"/>
      <c r="C46" s="109"/>
      <c r="D46" s="109"/>
      <c r="E46" s="102"/>
      <c r="F46" s="102"/>
      <c r="G46" s="21"/>
      <c r="H46" s="21"/>
      <c r="I46" s="21"/>
      <c r="J46" s="21"/>
      <c r="K46" s="21"/>
      <c r="L46" s="114"/>
    </row>
    <row r="47" spans="1:12" s="26" customFormat="1" ht="12">
      <c r="A47" s="23" t="s">
        <v>100</v>
      </c>
      <c r="B47" s="24"/>
      <c r="C47" s="110"/>
      <c r="D47" s="110"/>
      <c r="E47" s="103"/>
      <c r="F47" s="103"/>
      <c r="G47" s="24"/>
      <c r="H47" s="24"/>
      <c r="I47" s="24"/>
      <c r="J47" s="24"/>
      <c r="K47" s="24"/>
      <c r="L47" s="115"/>
    </row>
    <row r="48" spans="1:12" s="26" customFormat="1" ht="12">
      <c r="A48" s="23" t="s">
        <v>101</v>
      </c>
      <c r="B48" s="24"/>
      <c r="C48" s="110"/>
      <c r="D48" s="110"/>
      <c r="E48" s="103"/>
      <c r="F48" s="103"/>
      <c r="G48" s="24"/>
      <c r="H48" s="24"/>
      <c r="I48" s="24"/>
      <c r="J48" s="24"/>
      <c r="K48" s="24"/>
      <c r="L48" s="115"/>
    </row>
    <row r="49" spans="1:12" s="26" customFormat="1" ht="12">
      <c r="A49" s="23" t="s">
        <v>102</v>
      </c>
      <c r="B49" s="24"/>
      <c r="C49" s="110"/>
      <c r="D49" s="110"/>
      <c r="E49" s="103"/>
      <c r="F49" s="103"/>
      <c r="G49" s="24"/>
      <c r="H49" s="24"/>
      <c r="I49" s="24"/>
      <c r="J49" s="24"/>
      <c r="K49" s="24"/>
      <c r="L49" s="115"/>
    </row>
    <row r="50" spans="1:12" s="26" customFormat="1" ht="12">
      <c r="A50" s="23" t="s">
        <v>103</v>
      </c>
      <c r="B50" s="24"/>
      <c r="C50" s="110"/>
      <c r="D50" s="110"/>
      <c r="E50" s="103"/>
      <c r="F50" s="103"/>
      <c r="G50" s="24"/>
      <c r="H50" s="24"/>
      <c r="I50" s="24"/>
      <c r="J50" s="24"/>
      <c r="K50" s="24"/>
      <c r="L50" s="115"/>
    </row>
    <row r="51" spans="1:12" s="26" customFormat="1" ht="12">
      <c r="A51" s="23" t="s">
        <v>104</v>
      </c>
      <c r="B51" s="24"/>
      <c r="C51" s="110"/>
      <c r="D51" s="110"/>
      <c r="E51" s="103"/>
      <c r="F51" s="103"/>
      <c r="G51" s="24"/>
      <c r="H51" s="24"/>
      <c r="I51" s="24"/>
      <c r="J51" s="24"/>
      <c r="K51" s="24"/>
      <c r="L51" s="115"/>
    </row>
    <row r="52" spans="1:12" s="26" customFormat="1" ht="12">
      <c r="A52" s="23" t="s">
        <v>105</v>
      </c>
      <c r="B52" s="24"/>
      <c r="C52" s="110"/>
      <c r="D52" s="110"/>
      <c r="E52" s="103"/>
      <c r="F52" s="103"/>
      <c r="G52" s="24"/>
      <c r="H52" s="24"/>
      <c r="I52" s="24"/>
      <c r="J52" s="24"/>
      <c r="K52" s="24"/>
      <c r="L52" s="115"/>
    </row>
    <row r="53" spans="1:12" s="26" customFormat="1" ht="12">
      <c r="A53" s="23" t="s">
        <v>106</v>
      </c>
      <c r="B53" s="24"/>
      <c r="C53" s="110"/>
      <c r="D53" s="110"/>
      <c r="E53" s="103"/>
      <c r="F53" s="103"/>
      <c r="G53" s="24"/>
      <c r="H53" s="24"/>
      <c r="I53" s="24"/>
      <c r="J53" s="24"/>
      <c r="K53" s="24"/>
      <c r="L53" s="115"/>
    </row>
    <row r="54" spans="1:12" s="26" customFormat="1" ht="12">
      <c r="A54" s="23" t="s">
        <v>107</v>
      </c>
      <c r="B54" s="24"/>
      <c r="C54" s="110"/>
      <c r="D54" s="110"/>
      <c r="E54" s="103"/>
      <c r="F54" s="103"/>
      <c r="G54" s="24"/>
      <c r="H54" s="24"/>
      <c r="I54" s="24"/>
      <c r="J54" s="24"/>
      <c r="K54" s="24"/>
      <c r="L54" s="115"/>
    </row>
    <row r="55" spans="1:12" s="26" customFormat="1" ht="12">
      <c r="A55" s="23" t="s">
        <v>108</v>
      </c>
      <c r="B55" s="24"/>
      <c r="C55" s="110"/>
      <c r="D55" s="110"/>
      <c r="E55" s="103"/>
      <c r="F55" s="103"/>
      <c r="G55" s="24"/>
      <c r="H55" s="24"/>
      <c r="I55" s="24"/>
      <c r="J55" s="24"/>
      <c r="K55" s="24"/>
      <c r="L55" s="115"/>
    </row>
    <row r="56" spans="1:12" s="26" customFormat="1" ht="12">
      <c r="A56" s="23" t="s">
        <v>109</v>
      </c>
      <c r="B56" s="24"/>
      <c r="C56" s="110"/>
      <c r="D56" s="110"/>
      <c r="E56" s="103"/>
      <c r="F56" s="103"/>
      <c r="G56" s="24"/>
      <c r="H56" s="24"/>
      <c r="I56" s="24"/>
      <c r="J56" s="24"/>
      <c r="K56" s="24"/>
      <c r="L56" s="115"/>
    </row>
    <row r="57" spans="1:12" s="26" customFormat="1" ht="12">
      <c r="A57" s="23" t="s">
        <v>110</v>
      </c>
      <c r="B57" s="24"/>
      <c r="C57" s="110"/>
      <c r="D57" s="110"/>
      <c r="E57" s="103"/>
      <c r="F57" s="103"/>
      <c r="G57" s="24"/>
      <c r="H57" s="24"/>
      <c r="I57" s="24"/>
      <c r="J57" s="24"/>
      <c r="K57" s="24"/>
      <c r="L57" s="115"/>
    </row>
    <row r="58" spans="1:12" s="26" customFormat="1" ht="12">
      <c r="A58" s="23" t="s">
        <v>111</v>
      </c>
      <c r="B58" s="24"/>
      <c r="C58" s="110"/>
      <c r="D58" s="110"/>
      <c r="E58" s="103"/>
      <c r="F58" s="103"/>
      <c r="G58" s="24"/>
      <c r="H58" s="24"/>
      <c r="I58" s="24"/>
      <c r="J58" s="24"/>
      <c r="K58" s="24"/>
      <c r="L58" s="115"/>
    </row>
    <row r="59" spans="1:12" s="26" customFormat="1" ht="12">
      <c r="A59" s="23" t="s">
        <v>112</v>
      </c>
      <c r="B59" s="24"/>
      <c r="C59" s="110"/>
      <c r="D59" s="110"/>
      <c r="E59" s="103"/>
      <c r="F59" s="103"/>
      <c r="G59" s="24"/>
      <c r="H59" s="24"/>
      <c r="I59" s="24"/>
      <c r="J59" s="24"/>
      <c r="K59" s="24"/>
      <c r="L59" s="115"/>
    </row>
    <row r="60" spans="1:12" s="26" customFormat="1" ht="12">
      <c r="A60" s="23" t="s">
        <v>113</v>
      </c>
      <c r="B60" s="24"/>
      <c r="C60" s="110"/>
      <c r="D60" s="110"/>
      <c r="E60" s="103"/>
      <c r="F60" s="103"/>
      <c r="G60" s="24"/>
      <c r="H60" s="24"/>
      <c r="I60" s="24"/>
      <c r="J60" s="24"/>
      <c r="K60" s="24"/>
      <c r="L60" s="115"/>
    </row>
    <row r="61" spans="1:12" s="26" customFormat="1" ht="12">
      <c r="A61" s="23" t="s">
        <v>114</v>
      </c>
      <c r="B61" s="24"/>
      <c r="C61" s="110"/>
      <c r="D61" s="110"/>
      <c r="E61" s="103"/>
      <c r="F61" s="103"/>
      <c r="G61" s="24"/>
      <c r="H61" s="24"/>
      <c r="I61" s="24"/>
      <c r="J61" s="24"/>
      <c r="K61" s="24"/>
      <c r="L61" s="115"/>
    </row>
    <row r="62" spans="1:12" s="26" customFormat="1" ht="12">
      <c r="A62" s="23" t="s">
        <v>115</v>
      </c>
      <c r="B62" s="24"/>
      <c r="C62" s="110"/>
      <c r="D62" s="110"/>
      <c r="E62" s="103"/>
      <c r="F62" s="103"/>
      <c r="G62" s="24"/>
      <c r="H62" s="24"/>
      <c r="I62" s="24"/>
      <c r="J62" s="24"/>
      <c r="K62" s="24"/>
      <c r="L62" s="115"/>
    </row>
    <row r="63" spans="1:12" s="26" customFormat="1" ht="12">
      <c r="A63" s="23" t="s">
        <v>116</v>
      </c>
      <c r="B63" s="24"/>
      <c r="C63" s="110"/>
      <c r="D63" s="110"/>
      <c r="E63" s="103"/>
      <c r="F63" s="103"/>
      <c r="G63" s="24"/>
      <c r="H63" s="24"/>
      <c r="I63" s="24"/>
      <c r="J63" s="24"/>
      <c r="K63" s="24"/>
      <c r="L63" s="115"/>
    </row>
    <row r="64" spans="1:12" s="26" customFormat="1" ht="12">
      <c r="A64" s="23" t="s">
        <v>117</v>
      </c>
      <c r="B64" s="24"/>
      <c r="C64" s="110"/>
      <c r="D64" s="110"/>
      <c r="E64" s="103"/>
      <c r="F64" s="103"/>
      <c r="G64" s="24"/>
      <c r="H64" s="24"/>
      <c r="I64" s="24"/>
      <c r="J64" s="24"/>
      <c r="K64" s="24"/>
      <c r="L64" s="115"/>
    </row>
    <row r="65" spans="1:12" s="26" customFormat="1" ht="12">
      <c r="A65" s="23" t="s">
        <v>118</v>
      </c>
      <c r="B65" s="24"/>
      <c r="C65" s="110"/>
      <c r="D65" s="110"/>
      <c r="E65" s="103"/>
      <c r="F65" s="103"/>
      <c r="G65" s="24"/>
      <c r="H65" s="24"/>
      <c r="I65" s="24"/>
      <c r="J65" s="24"/>
      <c r="K65" s="24"/>
      <c r="L65" s="115"/>
    </row>
    <row r="66" spans="1:12" s="26" customFormat="1" ht="12">
      <c r="A66" s="25"/>
      <c r="B66" s="25"/>
      <c r="C66" s="110"/>
      <c r="D66" s="110"/>
      <c r="E66" s="103"/>
      <c r="F66" s="103"/>
      <c r="G66" s="25"/>
      <c r="H66" s="25"/>
      <c r="I66" s="25"/>
      <c r="J66" s="25"/>
      <c r="K66" s="27"/>
      <c r="L66" s="115"/>
    </row>
    <row r="67" spans="1:12" s="30" customFormat="1" ht="13.5">
      <c r="A67" s="20" t="s">
        <v>119</v>
      </c>
      <c r="B67" s="28"/>
      <c r="C67" s="111"/>
      <c r="D67" s="111"/>
      <c r="E67" s="104"/>
      <c r="F67" s="104"/>
      <c r="G67" s="25"/>
      <c r="H67" s="25"/>
      <c r="I67" s="29"/>
      <c r="J67" s="25"/>
      <c r="K67" s="27"/>
      <c r="L67" s="115"/>
    </row>
    <row r="68" spans="1:12" s="30" customFormat="1" ht="13.5">
      <c r="A68" s="20"/>
      <c r="B68" s="28"/>
      <c r="C68" s="111"/>
      <c r="D68" s="111"/>
      <c r="E68" s="104"/>
      <c r="F68" s="104"/>
      <c r="G68" s="25"/>
      <c r="H68" s="25"/>
      <c r="I68" s="29"/>
      <c r="J68" s="25"/>
      <c r="K68" s="27"/>
      <c r="L68" s="115"/>
    </row>
    <row r="69" spans="1:12" s="30" customFormat="1" ht="13.5">
      <c r="A69" s="20" t="s">
        <v>138</v>
      </c>
      <c r="B69" s="28"/>
      <c r="C69" s="112" t="s">
        <v>140</v>
      </c>
      <c r="D69" s="113"/>
      <c r="E69" s="20" t="s">
        <v>139</v>
      </c>
      <c r="F69" s="20"/>
      <c r="L69" s="115"/>
    </row>
    <row r="70" spans="1:12" s="30" customFormat="1" ht="13.5">
      <c r="A70" s="20"/>
      <c r="B70" s="28"/>
      <c r="C70" s="112"/>
      <c r="D70" s="113"/>
      <c r="E70" s="20"/>
      <c r="F70" s="20"/>
      <c r="L70" s="115"/>
    </row>
    <row r="71" spans="1:12" s="30" customFormat="1" ht="12">
      <c r="A71" s="31" t="s">
        <v>120</v>
      </c>
      <c r="B71" s="107" t="s">
        <v>195</v>
      </c>
      <c r="C71" s="31" t="s">
        <v>160</v>
      </c>
      <c r="D71" s="32" t="s">
        <v>161</v>
      </c>
      <c r="E71" s="117" t="s">
        <v>452</v>
      </c>
      <c r="F71" s="119" t="s">
        <v>453</v>
      </c>
      <c r="L71" s="115"/>
    </row>
    <row r="72" spans="1:12" s="30" customFormat="1" ht="12">
      <c r="A72" s="31" t="s">
        <v>121</v>
      </c>
      <c r="B72" s="107" t="s">
        <v>196</v>
      </c>
      <c r="C72" s="31" t="s">
        <v>162</v>
      </c>
      <c r="D72" s="32" t="s">
        <v>163</v>
      </c>
      <c r="E72" s="117" t="s">
        <v>210</v>
      </c>
      <c r="F72" s="119" t="s">
        <v>454</v>
      </c>
      <c r="L72" s="115"/>
    </row>
    <row r="73" spans="1:12" s="30" customFormat="1" ht="12">
      <c r="A73" s="31" t="s">
        <v>122</v>
      </c>
      <c r="B73" s="107" t="s">
        <v>198</v>
      </c>
      <c r="C73" s="31" t="s">
        <v>164</v>
      </c>
      <c r="D73" s="32" t="s">
        <v>165</v>
      </c>
      <c r="E73" s="117" t="s">
        <v>455</v>
      </c>
      <c r="F73" s="119" t="s">
        <v>304</v>
      </c>
      <c r="L73" s="115"/>
    </row>
    <row r="74" spans="1:12" s="30" customFormat="1" ht="12">
      <c r="A74" s="31" t="s">
        <v>123</v>
      </c>
      <c r="B74" s="107" t="s">
        <v>197</v>
      </c>
      <c r="C74" s="31" t="s">
        <v>166</v>
      </c>
      <c r="D74" s="32" t="s">
        <v>167</v>
      </c>
      <c r="E74" s="117" t="s">
        <v>456</v>
      </c>
      <c r="F74" s="119" t="s">
        <v>457</v>
      </c>
      <c r="L74" s="115"/>
    </row>
    <row r="75" spans="1:12" s="30" customFormat="1" ht="12">
      <c r="A75" s="31" t="s">
        <v>124</v>
      </c>
      <c r="B75" s="107" t="s">
        <v>467</v>
      </c>
      <c r="C75" s="31" t="s">
        <v>168</v>
      </c>
      <c r="D75" s="32" t="s">
        <v>169</v>
      </c>
      <c r="E75" s="117" t="s">
        <v>212</v>
      </c>
      <c r="F75" s="119" t="s">
        <v>458</v>
      </c>
      <c r="L75" s="115"/>
    </row>
    <row r="76" spans="1:12" s="30" customFormat="1" ht="12">
      <c r="A76" s="31" t="s">
        <v>125</v>
      </c>
      <c r="B76" s="107" t="s">
        <v>199</v>
      </c>
      <c r="C76" s="31" t="s">
        <v>170</v>
      </c>
      <c r="D76" s="32" t="s">
        <v>171</v>
      </c>
      <c r="E76" s="117" t="s">
        <v>459</v>
      </c>
      <c r="F76" s="119" t="s">
        <v>301</v>
      </c>
      <c r="L76" s="115"/>
    </row>
    <row r="77" spans="1:12" s="30" customFormat="1" ht="12">
      <c r="A77" s="31" t="s">
        <v>126</v>
      </c>
      <c r="B77" s="107" t="s">
        <v>200</v>
      </c>
      <c r="C77" s="31" t="s">
        <v>172</v>
      </c>
      <c r="D77" s="32" t="s">
        <v>173</v>
      </c>
      <c r="E77" s="117" t="s">
        <v>460</v>
      </c>
      <c r="F77" s="119" t="s">
        <v>461</v>
      </c>
      <c r="L77" s="115"/>
    </row>
    <row r="78" spans="1:12" s="30" customFormat="1" ht="12">
      <c r="A78" s="31" t="s">
        <v>127</v>
      </c>
      <c r="B78" s="107" t="s">
        <v>201</v>
      </c>
      <c r="C78" s="31" t="s">
        <v>174</v>
      </c>
      <c r="D78" s="32" t="s">
        <v>175</v>
      </c>
      <c r="E78" s="117" t="s">
        <v>462</v>
      </c>
      <c r="F78" s="119" t="s">
        <v>302</v>
      </c>
      <c r="L78" s="115"/>
    </row>
    <row r="79" spans="1:12" s="30" customFormat="1" ht="12">
      <c r="A79" s="31" t="s">
        <v>128</v>
      </c>
      <c r="B79" s="107" t="s">
        <v>202</v>
      </c>
      <c r="C79" s="31" t="s">
        <v>176</v>
      </c>
      <c r="D79" s="32" t="s">
        <v>177</v>
      </c>
      <c r="E79" s="117" t="s">
        <v>463</v>
      </c>
      <c r="F79" s="119" t="s">
        <v>464</v>
      </c>
      <c r="L79" s="115"/>
    </row>
    <row r="80" spans="1:12" s="30" customFormat="1" ht="12">
      <c r="A80" s="31" t="s">
        <v>129</v>
      </c>
      <c r="B80" s="107" t="s">
        <v>130</v>
      </c>
      <c r="C80" s="31" t="s">
        <v>178</v>
      </c>
      <c r="D80" s="32" t="s">
        <v>179</v>
      </c>
      <c r="E80" s="117" t="s">
        <v>465</v>
      </c>
      <c r="F80" s="119" t="s">
        <v>466</v>
      </c>
      <c r="I80" s="25"/>
      <c r="L80" s="115"/>
    </row>
    <row r="81" spans="1:12" s="30" customFormat="1" ht="12">
      <c r="A81" s="31" t="s">
        <v>131</v>
      </c>
      <c r="B81" s="107" t="s">
        <v>468</v>
      </c>
      <c r="C81" s="31" t="s">
        <v>180</v>
      </c>
      <c r="D81" s="32" t="s">
        <v>181</v>
      </c>
      <c r="E81" s="104"/>
      <c r="F81" s="120"/>
      <c r="G81" s="25"/>
      <c r="H81" s="25"/>
      <c r="I81" s="33"/>
      <c r="L81" s="115"/>
    </row>
    <row r="82" spans="1:12" s="30" customFormat="1" ht="12">
      <c r="A82" s="31" t="s">
        <v>132</v>
      </c>
      <c r="B82" s="107" t="s">
        <v>469</v>
      </c>
      <c r="C82" s="31" t="s">
        <v>182</v>
      </c>
      <c r="D82" s="32" t="s">
        <v>183</v>
      </c>
      <c r="E82" s="104"/>
      <c r="F82" s="104"/>
      <c r="G82" s="25"/>
      <c r="H82" s="25"/>
      <c r="I82" s="33"/>
      <c r="L82" s="115"/>
    </row>
    <row r="83" spans="1:12" s="30" customFormat="1" ht="12">
      <c r="A83" s="31" t="s">
        <v>133</v>
      </c>
      <c r="B83" s="107" t="s">
        <v>134</v>
      </c>
      <c r="C83" s="31" t="s">
        <v>184</v>
      </c>
      <c r="D83" s="32" t="s">
        <v>185</v>
      </c>
      <c r="E83" s="104"/>
      <c r="F83" s="104"/>
      <c r="G83" s="25"/>
      <c r="H83" s="25"/>
      <c r="I83" s="33"/>
      <c r="L83" s="115"/>
    </row>
    <row r="84" spans="1:12" s="30" customFormat="1" ht="12">
      <c r="A84" s="31" t="s">
        <v>135</v>
      </c>
      <c r="B84" s="107" t="s">
        <v>470</v>
      </c>
      <c r="C84" s="31" t="s">
        <v>186</v>
      </c>
      <c r="D84" s="32" t="s">
        <v>187</v>
      </c>
      <c r="E84" s="104"/>
      <c r="F84" s="104"/>
      <c r="G84" s="25"/>
      <c r="H84" s="25"/>
      <c r="I84" s="33"/>
      <c r="L84" s="115"/>
    </row>
    <row r="85" spans="1:12" s="30" customFormat="1" ht="12">
      <c r="A85" s="31" t="s">
        <v>136</v>
      </c>
      <c r="B85" s="107" t="s">
        <v>471</v>
      </c>
      <c r="C85" s="31" t="s">
        <v>188</v>
      </c>
      <c r="D85" s="32" t="s">
        <v>189</v>
      </c>
      <c r="E85" s="104"/>
      <c r="F85" s="104"/>
      <c r="G85" s="25"/>
      <c r="H85" s="25"/>
      <c r="I85" s="33"/>
      <c r="L85" s="115"/>
    </row>
    <row r="86" spans="1:12" s="30" customFormat="1" ht="12">
      <c r="C86" s="31" t="s">
        <v>190</v>
      </c>
      <c r="D86" s="32" t="s">
        <v>191</v>
      </c>
      <c r="E86" s="104"/>
      <c r="F86" s="104"/>
      <c r="I86" s="34"/>
      <c r="L86" s="36"/>
    </row>
    <row r="87" spans="1:12" s="30" customFormat="1" ht="12">
      <c r="C87" s="31" t="s">
        <v>192</v>
      </c>
      <c r="D87" s="32" t="s">
        <v>193</v>
      </c>
      <c r="E87" s="104"/>
      <c r="F87" s="104"/>
      <c r="G87" s="36"/>
      <c r="I87" s="35"/>
      <c r="L87" s="36"/>
    </row>
    <row r="88" spans="1:12" s="30" customFormat="1" ht="12">
      <c r="C88" s="121" t="s">
        <v>194</v>
      </c>
      <c r="D88" s="122" t="s">
        <v>335</v>
      </c>
      <c r="E88" s="104"/>
      <c r="F88" s="104"/>
      <c r="I88" s="34"/>
      <c r="L88" s="36"/>
    </row>
    <row r="89" spans="1:12" s="123" customFormat="1" ht="12">
      <c r="C89" s="111"/>
      <c r="D89" s="111"/>
      <c r="E89" s="104"/>
      <c r="F89" s="104"/>
      <c r="I89" s="124"/>
      <c r="K89" s="125"/>
      <c r="L89" s="126"/>
    </row>
    <row r="90" spans="1:12" s="123" customFormat="1" ht="12">
      <c r="C90" s="111"/>
      <c r="D90" s="111"/>
      <c r="E90" s="104"/>
      <c r="F90" s="104"/>
      <c r="I90" s="124"/>
      <c r="K90" s="125"/>
      <c r="L90" s="126"/>
    </row>
    <row r="91" spans="1:12" s="123" customFormat="1" ht="12">
      <c r="C91" s="111"/>
      <c r="D91" s="111"/>
      <c r="E91" s="104"/>
      <c r="F91" s="104"/>
      <c r="I91" s="124"/>
      <c r="K91" s="125"/>
      <c r="L91" s="126"/>
    </row>
    <row r="92" spans="1:12" s="123" customFormat="1" ht="12">
      <c r="C92" s="111"/>
      <c r="D92" s="111"/>
      <c r="E92" s="104"/>
      <c r="F92" s="104"/>
      <c r="I92" s="124"/>
      <c r="K92" s="125"/>
      <c r="L92" s="126"/>
    </row>
    <row r="93" spans="1:12" s="123" customFormat="1" ht="12">
      <c r="C93" s="111"/>
      <c r="D93" s="111"/>
      <c r="E93" s="104"/>
      <c r="F93" s="104"/>
      <c r="I93" s="124"/>
      <c r="K93" s="125"/>
      <c r="L93" s="126"/>
    </row>
    <row r="94" spans="1:12" s="123" customFormat="1" ht="12">
      <c r="C94" s="111"/>
      <c r="D94" s="111"/>
      <c r="E94" s="104"/>
      <c r="F94" s="104"/>
      <c r="I94" s="124"/>
      <c r="K94" s="125"/>
      <c r="L94" s="126"/>
    </row>
    <row r="95" spans="1:12" s="123" customFormat="1" ht="12">
      <c r="C95" s="111"/>
      <c r="D95" s="111"/>
      <c r="E95" s="104"/>
      <c r="F95" s="104"/>
      <c r="I95" s="124"/>
      <c r="K95" s="125"/>
      <c r="L95" s="126"/>
    </row>
    <row r="96" spans="1:12" s="127" customFormat="1">
      <c r="C96" s="108"/>
      <c r="D96" s="108"/>
      <c r="E96" s="101"/>
      <c r="F96" s="101"/>
      <c r="K96" s="128"/>
      <c r="L96" s="129"/>
    </row>
    <row r="97" spans="3:12" s="127" customFormat="1">
      <c r="C97" s="108"/>
      <c r="D97" s="108"/>
      <c r="E97" s="101"/>
      <c r="F97" s="101"/>
      <c r="K97" s="128"/>
      <c r="L97" s="129"/>
    </row>
    <row r="98" spans="3:12" s="127" customFormat="1">
      <c r="C98" s="108"/>
      <c r="D98" s="108"/>
      <c r="E98" s="101"/>
      <c r="F98" s="101"/>
      <c r="K98" s="128"/>
      <c r="L98" s="129"/>
    </row>
    <row r="99" spans="3:12" s="127" customFormat="1">
      <c r="C99" s="108"/>
      <c r="D99" s="108"/>
      <c r="E99" s="101"/>
      <c r="F99" s="101"/>
      <c r="K99" s="128"/>
      <c r="L99" s="129"/>
    </row>
    <row r="100" spans="3:12" s="127" customFormat="1">
      <c r="C100" s="108"/>
      <c r="D100" s="108"/>
      <c r="E100" s="101"/>
      <c r="F100" s="101"/>
      <c r="K100" s="128"/>
      <c r="L100" s="129"/>
    </row>
    <row r="101" spans="3:12" s="127" customFormat="1">
      <c r="C101" s="108"/>
      <c r="D101" s="108"/>
      <c r="E101" s="101"/>
      <c r="F101" s="101"/>
      <c r="K101" s="128"/>
      <c r="L101" s="129"/>
    </row>
    <row r="102" spans="3:12" s="127" customFormat="1">
      <c r="C102" s="108"/>
      <c r="D102" s="108"/>
      <c r="E102" s="101"/>
      <c r="F102" s="101"/>
      <c r="K102" s="128"/>
      <c r="L102" s="129"/>
    </row>
    <row r="103" spans="3:12" s="127" customFormat="1">
      <c r="C103" s="108"/>
      <c r="D103" s="108"/>
      <c r="E103" s="101"/>
      <c r="F103" s="101"/>
      <c r="K103" s="128"/>
      <c r="L103" s="129"/>
    </row>
    <row r="104" spans="3:12" s="127" customFormat="1">
      <c r="C104" s="108"/>
      <c r="D104" s="108"/>
      <c r="E104" s="101"/>
      <c r="F104" s="101"/>
      <c r="K104" s="128"/>
      <c r="L104" s="129"/>
    </row>
    <row r="105" spans="3:12" s="127" customFormat="1">
      <c r="C105" s="108"/>
      <c r="D105" s="108"/>
      <c r="E105" s="101"/>
      <c r="F105" s="101"/>
      <c r="K105" s="128"/>
      <c r="L105" s="129"/>
    </row>
    <row r="106" spans="3:12" s="127" customFormat="1">
      <c r="C106" s="108"/>
      <c r="D106" s="108"/>
      <c r="E106" s="101"/>
      <c r="F106" s="101"/>
      <c r="K106" s="128"/>
      <c r="L106" s="129"/>
    </row>
    <row r="107" spans="3:12" s="127" customFormat="1">
      <c r="C107" s="108"/>
      <c r="D107" s="108"/>
      <c r="E107" s="101"/>
      <c r="F107" s="101"/>
      <c r="K107" s="128"/>
      <c r="L107" s="129"/>
    </row>
    <row r="108" spans="3:12" s="127" customFormat="1">
      <c r="C108" s="108"/>
      <c r="D108" s="108"/>
      <c r="E108" s="101"/>
      <c r="F108" s="101"/>
      <c r="K108" s="128"/>
      <c r="L108" s="129"/>
    </row>
    <row r="109" spans="3:12" s="127" customFormat="1">
      <c r="C109" s="108"/>
      <c r="D109" s="108"/>
      <c r="E109" s="101"/>
      <c r="F109" s="101"/>
      <c r="K109" s="128"/>
      <c r="L109" s="129"/>
    </row>
    <row r="110" spans="3:12" s="127" customFormat="1">
      <c r="C110" s="108"/>
      <c r="D110" s="108"/>
      <c r="E110" s="101"/>
      <c r="F110" s="101"/>
      <c r="K110" s="128"/>
      <c r="L110" s="129"/>
    </row>
    <row r="111" spans="3:12" s="127" customFormat="1">
      <c r="C111" s="108"/>
      <c r="D111" s="108"/>
      <c r="E111" s="101"/>
      <c r="F111" s="101"/>
      <c r="K111" s="128"/>
      <c r="L111" s="129"/>
    </row>
    <row r="112" spans="3:12" s="127" customFormat="1">
      <c r="C112" s="108"/>
      <c r="D112" s="108"/>
      <c r="E112" s="101"/>
      <c r="F112" s="101"/>
      <c r="K112" s="128"/>
      <c r="L112" s="129"/>
    </row>
    <row r="113" spans="3:12" s="127" customFormat="1">
      <c r="C113" s="108"/>
      <c r="D113" s="108"/>
      <c r="E113" s="101"/>
      <c r="F113" s="101"/>
      <c r="K113" s="128"/>
      <c r="L113" s="129"/>
    </row>
    <row r="114" spans="3:12" s="127" customFormat="1">
      <c r="C114" s="108"/>
      <c r="D114" s="108"/>
      <c r="E114" s="101"/>
      <c r="F114" s="101"/>
      <c r="K114" s="128"/>
      <c r="L114" s="129"/>
    </row>
    <row r="115" spans="3:12" s="127" customFormat="1">
      <c r="C115" s="108"/>
      <c r="D115" s="108"/>
      <c r="E115" s="101"/>
      <c r="F115" s="101"/>
      <c r="K115" s="128"/>
      <c r="L115" s="129"/>
    </row>
    <row r="116" spans="3:12" s="127" customFormat="1">
      <c r="C116" s="108"/>
      <c r="D116" s="108"/>
      <c r="E116" s="101"/>
      <c r="F116" s="101"/>
      <c r="K116" s="128"/>
      <c r="L116" s="129"/>
    </row>
    <row r="117" spans="3:12" s="127" customFormat="1">
      <c r="C117" s="108"/>
      <c r="D117" s="108"/>
      <c r="E117" s="101"/>
      <c r="F117" s="101"/>
      <c r="K117" s="128"/>
      <c r="L117" s="129"/>
    </row>
    <row r="118" spans="3:12" s="127" customFormat="1">
      <c r="C118" s="108"/>
      <c r="D118" s="108"/>
      <c r="E118" s="101"/>
      <c r="F118" s="101"/>
      <c r="K118" s="128"/>
      <c r="L118" s="129"/>
    </row>
    <row r="119" spans="3:12" s="127" customFormat="1">
      <c r="C119" s="108"/>
      <c r="D119" s="108"/>
      <c r="E119" s="101"/>
      <c r="F119" s="101"/>
      <c r="K119" s="128"/>
      <c r="L119" s="129"/>
    </row>
    <row r="120" spans="3:12" s="127" customFormat="1">
      <c r="C120" s="108"/>
      <c r="D120" s="108"/>
      <c r="E120" s="101"/>
      <c r="F120" s="101"/>
      <c r="K120" s="128"/>
      <c r="L120" s="129"/>
    </row>
    <row r="121" spans="3:12" s="127" customFormat="1">
      <c r="C121" s="108"/>
      <c r="D121" s="108"/>
      <c r="E121" s="101"/>
      <c r="F121" s="101"/>
      <c r="K121" s="128"/>
      <c r="L121" s="129"/>
    </row>
    <row r="122" spans="3:12" s="127" customFormat="1">
      <c r="C122" s="108"/>
      <c r="D122" s="108"/>
      <c r="E122" s="101"/>
      <c r="F122" s="101"/>
      <c r="K122" s="128"/>
      <c r="L122" s="129"/>
    </row>
    <row r="123" spans="3:12" s="127" customFormat="1">
      <c r="C123" s="108"/>
      <c r="D123" s="108"/>
      <c r="E123" s="101"/>
      <c r="F123" s="101"/>
      <c r="K123" s="128"/>
      <c r="L123" s="129"/>
    </row>
    <row r="124" spans="3:12" s="127" customFormat="1">
      <c r="C124" s="108"/>
      <c r="D124" s="108"/>
      <c r="E124" s="101"/>
      <c r="F124" s="101"/>
      <c r="K124" s="128"/>
      <c r="L124" s="129"/>
    </row>
    <row r="125" spans="3:12" s="127" customFormat="1">
      <c r="C125" s="108"/>
      <c r="D125" s="108"/>
      <c r="E125" s="101"/>
      <c r="F125" s="101"/>
      <c r="K125" s="128"/>
      <c r="L125" s="129"/>
    </row>
    <row r="126" spans="3:12" s="127" customFormat="1">
      <c r="C126" s="108"/>
      <c r="D126" s="108"/>
      <c r="E126" s="101"/>
      <c r="F126" s="101"/>
      <c r="K126" s="128"/>
      <c r="L126" s="129"/>
    </row>
    <row r="127" spans="3:12" s="127" customFormat="1">
      <c r="C127" s="108"/>
      <c r="D127" s="108"/>
      <c r="E127" s="101"/>
      <c r="F127" s="101"/>
      <c r="K127" s="128"/>
      <c r="L127" s="129"/>
    </row>
    <row r="128" spans="3:12" s="127" customFormat="1">
      <c r="C128" s="108"/>
      <c r="D128" s="108"/>
      <c r="E128" s="101"/>
      <c r="F128" s="101"/>
      <c r="K128" s="128"/>
      <c r="L128" s="129"/>
    </row>
    <row r="129" spans="3:12" s="127" customFormat="1">
      <c r="C129" s="108"/>
      <c r="D129" s="108"/>
      <c r="E129" s="101"/>
      <c r="F129" s="101"/>
      <c r="K129" s="128"/>
      <c r="L129" s="129"/>
    </row>
    <row r="130" spans="3:12" s="127" customFormat="1">
      <c r="C130" s="108"/>
      <c r="D130" s="108"/>
      <c r="E130" s="101"/>
      <c r="F130" s="101"/>
      <c r="K130" s="128"/>
      <c r="L130" s="129"/>
    </row>
    <row r="131" spans="3:12" s="127" customFormat="1">
      <c r="C131" s="108"/>
      <c r="D131" s="108"/>
      <c r="E131" s="101"/>
      <c r="F131" s="101"/>
      <c r="K131" s="128"/>
      <c r="L131" s="129"/>
    </row>
    <row r="132" spans="3:12" s="127" customFormat="1">
      <c r="C132" s="108"/>
      <c r="D132" s="108"/>
      <c r="E132" s="101"/>
      <c r="F132" s="101"/>
      <c r="K132" s="128"/>
      <c r="L132" s="129"/>
    </row>
    <row r="133" spans="3:12" s="127" customFormat="1">
      <c r="C133" s="108"/>
      <c r="D133" s="108"/>
      <c r="E133" s="101"/>
      <c r="F133" s="101"/>
      <c r="K133" s="128"/>
      <c r="L133" s="129"/>
    </row>
    <row r="134" spans="3:12" s="127" customFormat="1">
      <c r="C134" s="108"/>
      <c r="D134" s="108"/>
      <c r="E134" s="101"/>
      <c r="F134" s="101"/>
      <c r="K134" s="128"/>
      <c r="L134" s="129"/>
    </row>
    <row r="135" spans="3:12" s="127" customFormat="1">
      <c r="C135" s="108"/>
      <c r="D135" s="108"/>
      <c r="E135" s="101"/>
      <c r="F135" s="101"/>
      <c r="K135" s="128"/>
      <c r="L135" s="129"/>
    </row>
    <row r="136" spans="3:12" s="127" customFormat="1">
      <c r="C136" s="108"/>
      <c r="D136" s="108"/>
      <c r="E136" s="101"/>
      <c r="F136" s="101"/>
      <c r="K136" s="128"/>
      <c r="L136" s="129"/>
    </row>
    <row r="137" spans="3:12" s="127" customFormat="1">
      <c r="C137" s="108"/>
      <c r="D137" s="108"/>
      <c r="E137" s="101"/>
      <c r="F137" s="101"/>
      <c r="K137" s="128"/>
      <c r="L137" s="129"/>
    </row>
    <row r="138" spans="3:12" s="127" customFormat="1">
      <c r="C138" s="108"/>
      <c r="D138" s="108"/>
      <c r="E138" s="101"/>
      <c r="F138" s="101"/>
      <c r="K138" s="128"/>
      <c r="L138" s="129"/>
    </row>
    <row r="139" spans="3:12" s="127" customFormat="1">
      <c r="C139" s="108"/>
      <c r="D139" s="108"/>
      <c r="E139" s="101"/>
      <c r="F139" s="101"/>
      <c r="K139" s="128"/>
      <c r="L139" s="129"/>
    </row>
    <row r="140" spans="3:12" s="127" customFormat="1">
      <c r="C140" s="108"/>
      <c r="D140" s="108"/>
      <c r="E140" s="101"/>
      <c r="F140" s="101"/>
      <c r="K140" s="128"/>
      <c r="L140" s="129"/>
    </row>
    <row r="141" spans="3:12" s="127" customFormat="1">
      <c r="C141" s="108"/>
      <c r="D141" s="108"/>
      <c r="E141" s="101"/>
      <c r="F141" s="101"/>
      <c r="K141" s="128"/>
      <c r="L141" s="129"/>
    </row>
    <row r="142" spans="3:12" s="127" customFormat="1">
      <c r="C142" s="108"/>
      <c r="D142" s="108"/>
      <c r="E142" s="101"/>
      <c r="F142" s="101"/>
      <c r="K142" s="128"/>
      <c r="L142" s="129"/>
    </row>
    <row r="143" spans="3:12" s="127" customFormat="1">
      <c r="C143" s="108"/>
      <c r="D143" s="108"/>
      <c r="E143" s="101"/>
      <c r="F143" s="101"/>
      <c r="K143" s="128"/>
      <c r="L143" s="129"/>
    </row>
    <row r="144" spans="3:12" s="127" customFormat="1">
      <c r="C144" s="108"/>
      <c r="D144" s="108"/>
      <c r="E144" s="101"/>
      <c r="F144" s="101"/>
      <c r="K144" s="128"/>
      <c r="L144" s="129"/>
    </row>
    <row r="145" spans="3:12" s="127" customFormat="1">
      <c r="C145" s="108"/>
      <c r="D145" s="108"/>
      <c r="E145" s="101"/>
      <c r="F145" s="101"/>
      <c r="K145" s="128"/>
      <c r="L145" s="129"/>
    </row>
    <row r="146" spans="3:12" s="127" customFormat="1">
      <c r="C146" s="108"/>
      <c r="D146" s="108"/>
      <c r="E146" s="101"/>
      <c r="F146" s="101"/>
      <c r="K146" s="128"/>
      <c r="L146" s="129"/>
    </row>
    <row r="147" spans="3:12" s="127" customFormat="1">
      <c r="C147" s="108"/>
      <c r="D147" s="108"/>
      <c r="E147" s="101"/>
      <c r="F147" s="101"/>
      <c r="K147" s="128"/>
      <c r="L147" s="129"/>
    </row>
    <row r="148" spans="3:12" s="127" customFormat="1">
      <c r="C148" s="108"/>
      <c r="D148" s="108"/>
      <c r="E148" s="101"/>
      <c r="F148" s="101"/>
      <c r="K148" s="128"/>
      <c r="L148" s="129"/>
    </row>
    <row r="149" spans="3:12" s="127" customFormat="1">
      <c r="C149" s="108"/>
      <c r="D149" s="108"/>
      <c r="E149" s="101"/>
      <c r="F149" s="101"/>
      <c r="K149" s="128"/>
      <c r="L149" s="129"/>
    </row>
    <row r="150" spans="3:12" s="127" customFormat="1">
      <c r="C150" s="108"/>
      <c r="D150" s="108"/>
      <c r="E150" s="101"/>
      <c r="F150" s="101"/>
      <c r="K150" s="128"/>
      <c r="L150" s="129"/>
    </row>
    <row r="151" spans="3:12" s="127" customFormat="1">
      <c r="C151" s="108"/>
      <c r="D151" s="108"/>
      <c r="E151" s="101"/>
      <c r="F151" s="101"/>
      <c r="K151" s="128"/>
      <c r="L151" s="129"/>
    </row>
    <row r="152" spans="3:12" s="127" customFormat="1">
      <c r="C152" s="108"/>
      <c r="D152" s="108"/>
      <c r="E152" s="101"/>
      <c r="F152" s="101"/>
      <c r="K152" s="128"/>
      <c r="L152" s="129"/>
    </row>
    <row r="153" spans="3:12" s="127" customFormat="1">
      <c r="C153" s="108"/>
      <c r="D153" s="108"/>
      <c r="E153" s="101"/>
      <c r="F153" s="101"/>
      <c r="K153" s="128"/>
      <c r="L153" s="129"/>
    </row>
    <row r="154" spans="3:12" s="127" customFormat="1">
      <c r="C154" s="108"/>
      <c r="D154" s="108"/>
      <c r="E154" s="101"/>
      <c r="F154" s="101"/>
      <c r="K154" s="128"/>
      <c r="L154" s="129"/>
    </row>
    <row r="155" spans="3:12" s="127" customFormat="1">
      <c r="C155" s="108"/>
      <c r="D155" s="108"/>
      <c r="E155" s="101"/>
      <c r="F155" s="101"/>
      <c r="K155" s="128"/>
      <c r="L155" s="129"/>
    </row>
    <row r="156" spans="3:12" s="127" customFormat="1">
      <c r="C156" s="108"/>
      <c r="D156" s="108"/>
      <c r="E156" s="101"/>
      <c r="F156" s="101"/>
      <c r="K156" s="128"/>
      <c r="L156" s="129"/>
    </row>
    <row r="157" spans="3:12" s="127" customFormat="1">
      <c r="C157" s="108"/>
      <c r="D157" s="108"/>
      <c r="E157" s="101"/>
      <c r="F157" s="101"/>
      <c r="K157" s="128"/>
      <c r="L157" s="129"/>
    </row>
    <row r="158" spans="3:12" s="127" customFormat="1">
      <c r="C158" s="108"/>
      <c r="D158" s="108"/>
      <c r="E158" s="101"/>
      <c r="F158" s="101"/>
      <c r="K158" s="128"/>
      <c r="L158" s="129"/>
    </row>
    <row r="159" spans="3:12" s="127" customFormat="1">
      <c r="C159" s="108"/>
      <c r="D159" s="108"/>
      <c r="E159" s="101"/>
      <c r="F159" s="101"/>
      <c r="K159" s="128"/>
      <c r="L159" s="129"/>
    </row>
    <row r="160" spans="3:12" s="127" customFormat="1">
      <c r="C160" s="108"/>
      <c r="D160" s="108"/>
      <c r="E160" s="101"/>
      <c r="F160" s="101"/>
      <c r="K160" s="128"/>
      <c r="L160" s="129"/>
    </row>
    <row r="161" spans="3:12" s="127" customFormat="1">
      <c r="C161" s="108"/>
      <c r="D161" s="108"/>
      <c r="E161" s="101"/>
      <c r="F161" s="101"/>
      <c r="K161" s="128"/>
      <c r="L161" s="129"/>
    </row>
    <row r="162" spans="3:12" s="127" customFormat="1">
      <c r="C162" s="108"/>
      <c r="D162" s="108"/>
      <c r="E162" s="101"/>
      <c r="F162" s="101"/>
      <c r="K162" s="128"/>
      <c r="L162" s="129"/>
    </row>
    <row r="163" spans="3:12" s="127" customFormat="1">
      <c r="C163" s="108"/>
      <c r="D163" s="108"/>
      <c r="E163" s="101"/>
      <c r="F163" s="101"/>
      <c r="K163" s="128"/>
      <c r="L163" s="129"/>
    </row>
    <row r="164" spans="3:12" s="127" customFormat="1">
      <c r="C164" s="108"/>
      <c r="D164" s="108"/>
      <c r="E164" s="101"/>
      <c r="F164" s="101"/>
      <c r="K164" s="128"/>
      <c r="L164" s="129"/>
    </row>
    <row r="165" spans="3:12" s="127" customFormat="1">
      <c r="C165" s="108"/>
      <c r="D165" s="108"/>
      <c r="E165" s="101"/>
      <c r="F165" s="101"/>
      <c r="K165" s="128"/>
      <c r="L165" s="129"/>
    </row>
    <row r="166" spans="3:12" s="127" customFormat="1">
      <c r="C166" s="108"/>
      <c r="D166" s="108"/>
      <c r="E166" s="101"/>
      <c r="F166" s="101"/>
      <c r="K166" s="128"/>
      <c r="L166" s="129"/>
    </row>
    <row r="167" spans="3:12" s="127" customFormat="1">
      <c r="C167" s="108"/>
      <c r="D167" s="108"/>
      <c r="E167" s="101"/>
      <c r="F167" s="101"/>
      <c r="K167" s="128"/>
      <c r="L167" s="129"/>
    </row>
    <row r="168" spans="3:12" s="127" customFormat="1">
      <c r="C168" s="108"/>
      <c r="D168" s="108"/>
      <c r="E168" s="101"/>
      <c r="F168" s="101"/>
      <c r="K168" s="128"/>
      <c r="L168" s="129"/>
    </row>
    <row r="169" spans="3:12" s="127" customFormat="1">
      <c r="C169" s="108"/>
      <c r="D169" s="108"/>
      <c r="E169" s="101"/>
      <c r="F169" s="101"/>
      <c r="K169" s="128"/>
      <c r="L169" s="129"/>
    </row>
    <row r="170" spans="3:12" s="127" customFormat="1">
      <c r="C170" s="108"/>
      <c r="D170" s="108"/>
      <c r="E170" s="101"/>
      <c r="F170" s="101"/>
      <c r="K170" s="128"/>
      <c r="L170" s="129"/>
    </row>
    <row r="171" spans="3:12" s="127" customFormat="1">
      <c r="C171" s="108"/>
      <c r="D171" s="108"/>
      <c r="E171" s="101"/>
      <c r="F171" s="101"/>
      <c r="K171" s="128"/>
      <c r="L171" s="129"/>
    </row>
    <row r="172" spans="3:12" s="127" customFormat="1">
      <c r="C172" s="108"/>
      <c r="D172" s="108"/>
      <c r="E172" s="101"/>
      <c r="F172" s="101"/>
      <c r="K172" s="128"/>
      <c r="L172" s="129"/>
    </row>
    <row r="173" spans="3:12" s="127" customFormat="1">
      <c r="C173" s="108"/>
      <c r="D173" s="108"/>
      <c r="E173" s="101"/>
      <c r="F173" s="101"/>
      <c r="K173" s="128"/>
      <c r="L173" s="129"/>
    </row>
    <row r="174" spans="3:12" s="127" customFormat="1">
      <c r="C174" s="108"/>
      <c r="D174" s="108"/>
      <c r="E174" s="101"/>
      <c r="F174" s="101"/>
      <c r="K174" s="128"/>
      <c r="L174" s="129"/>
    </row>
    <row r="175" spans="3:12" s="127" customFormat="1">
      <c r="C175" s="108"/>
      <c r="D175" s="108"/>
      <c r="E175" s="101"/>
      <c r="F175" s="101"/>
      <c r="K175" s="128"/>
      <c r="L175" s="129"/>
    </row>
    <row r="176" spans="3:12" s="127" customFormat="1">
      <c r="C176" s="108"/>
      <c r="D176" s="108"/>
      <c r="E176" s="101"/>
      <c r="F176" s="101"/>
      <c r="K176" s="128"/>
      <c r="L176" s="129"/>
    </row>
    <row r="177" spans="3:12" s="127" customFormat="1">
      <c r="C177" s="108"/>
      <c r="D177" s="108"/>
      <c r="E177" s="101"/>
      <c r="F177" s="101"/>
      <c r="K177" s="128"/>
      <c r="L177" s="129"/>
    </row>
    <row r="178" spans="3:12" s="127" customFormat="1">
      <c r="C178" s="108"/>
      <c r="D178" s="108"/>
      <c r="E178" s="101"/>
      <c r="F178" s="101"/>
      <c r="K178" s="128"/>
      <c r="L178" s="129"/>
    </row>
    <row r="179" spans="3:12" s="127" customFormat="1">
      <c r="C179" s="108"/>
      <c r="D179" s="108"/>
      <c r="E179" s="101"/>
      <c r="F179" s="101"/>
      <c r="K179" s="128"/>
      <c r="L179" s="129"/>
    </row>
    <row r="180" spans="3:12" s="127" customFormat="1">
      <c r="C180" s="108"/>
      <c r="D180" s="108"/>
      <c r="E180" s="101"/>
      <c r="F180" s="101"/>
      <c r="K180" s="128"/>
      <c r="L180" s="129"/>
    </row>
    <row r="181" spans="3:12" s="127" customFormat="1">
      <c r="C181" s="108"/>
      <c r="D181" s="108"/>
      <c r="E181" s="101"/>
      <c r="F181" s="101"/>
      <c r="K181" s="128"/>
      <c r="L181" s="129"/>
    </row>
    <row r="182" spans="3:12" s="127" customFormat="1">
      <c r="C182" s="108"/>
      <c r="D182" s="108"/>
      <c r="E182" s="101"/>
      <c r="F182" s="101"/>
      <c r="K182" s="128"/>
      <c r="L182" s="129"/>
    </row>
    <row r="183" spans="3:12" s="127" customFormat="1">
      <c r="C183" s="108"/>
      <c r="D183" s="108"/>
      <c r="E183" s="101"/>
      <c r="F183" s="101"/>
      <c r="K183" s="128"/>
      <c r="L183" s="129"/>
    </row>
    <row r="184" spans="3:12" s="127" customFormat="1">
      <c r="C184" s="108"/>
      <c r="D184" s="108"/>
      <c r="E184" s="101"/>
      <c r="F184" s="101"/>
      <c r="K184" s="128"/>
      <c r="L184" s="129"/>
    </row>
    <row r="185" spans="3:12" s="127" customFormat="1">
      <c r="C185" s="108"/>
      <c r="D185" s="108"/>
      <c r="E185" s="101"/>
      <c r="F185" s="101"/>
      <c r="K185" s="128"/>
      <c r="L185" s="129"/>
    </row>
    <row r="186" spans="3:12" s="127" customFormat="1">
      <c r="C186" s="108"/>
      <c r="D186" s="108"/>
      <c r="E186" s="101"/>
      <c r="F186" s="101"/>
      <c r="K186" s="128"/>
      <c r="L186" s="129"/>
    </row>
    <row r="187" spans="3:12" s="127" customFormat="1">
      <c r="C187" s="108"/>
      <c r="D187" s="108"/>
      <c r="E187" s="101"/>
      <c r="F187" s="101"/>
      <c r="K187" s="128"/>
      <c r="L187" s="129"/>
    </row>
    <row r="188" spans="3:12" s="127" customFormat="1">
      <c r="C188" s="108"/>
      <c r="D188" s="108"/>
      <c r="E188" s="101"/>
      <c r="F188" s="101"/>
      <c r="K188" s="128"/>
      <c r="L188" s="129"/>
    </row>
    <row r="189" spans="3:12" s="127" customFormat="1">
      <c r="C189" s="108"/>
      <c r="D189" s="108"/>
      <c r="E189" s="101"/>
      <c r="F189" s="101"/>
      <c r="K189" s="128"/>
      <c r="L189" s="129"/>
    </row>
    <row r="190" spans="3:12" s="127" customFormat="1">
      <c r="C190" s="108"/>
      <c r="D190" s="108"/>
      <c r="E190" s="101"/>
      <c r="F190" s="101"/>
      <c r="K190" s="128"/>
      <c r="L190" s="129"/>
    </row>
    <row r="191" spans="3:12" s="127" customFormat="1">
      <c r="C191" s="108"/>
      <c r="D191" s="108"/>
      <c r="E191" s="101"/>
      <c r="F191" s="101"/>
      <c r="K191" s="128"/>
      <c r="L191" s="129"/>
    </row>
    <row r="192" spans="3:12" s="127" customFormat="1">
      <c r="C192" s="108"/>
      <c r="D192" s="108"/>
      <c r="E192" s="101"/>
      <c r="F192" s="101"/>
      <c r="K192" s="128"/>
      <c r="L192" s="129"/>
    </row>
    <row r="193" spans="3:12" s="127" customFormat="1">
      <c r="C193" s="108"/>
      <c r="D193" s="108"/>
      <c r="E193" s="101"/>
      <c r="F193" s="101"/>
      <c r="K193" s="128"/>
      <c r="L193" s="129"/>
    </row>
    <row r="194" spans="3:12" s="127" customFormat="1">
      <c r="C194" s="108"/>
      <c r="D194" s="108"/>
      <c r="E194" s="101"/>
      <c r="F194" s="101"/>
      <c r="K194" s="128"/>
      <c r="L194" s="129"/>
    </row>
    <row r="195" spans="3:12" s="127" customFormat="1">
      <c r="C195" s="108"/>
      <c r="D195" s="108"/>
      <c r="E195" s="101"/>
      <c r="F195" s="101"/>
      <c r="K195" s="128"/>
      <c r="L195" s="129"/>
    </row>
    <row r="196" spans="3:12" s="127" customFormat="1">
      <c r="C196" s="108"/>
      <c r="D196" s="108"/>
      <c r="E196" s="101"/>
      <c r="F196" s="101"/>
      <c r="K196" s="128"/>
      <c r="L196" s="129"/>
    </row>
    <row r="197" spans="3:12" s="127" customFormat="1">
      <c r="C197" s="108"/>
      <c r="D197" s="108"/>
      <c r="E197" s="101"/>
      <c r="F197" s="101"/>
      <c r="K197" s="128"/>
      <c r="L197" s="129"/>
    </row>
    <row r="198" spans="3:12" s="127" customFormat="1">
      <c r="C198" s="108"/>
      <c r="D198" s="108"/>
      <c r="E198" s="101"/>
      <c r="F198" s="101"/>
      <c r="K198" s="128"/>
      <c r="L198" s="129"/>
    </row>
    <row r="199" spans="3:12" s="127" customFormat="1">
      <c r="C199" s="108"/>
      <c r="D199" s="108"/>
      <c r="E199" s="101"/>
      <c r="F199" s="101"/>
      <c r="K199" s="128"/>
      <c r="L199" s="129"/>
    </row>
    <row r="200" spans="3:12" s="127" customFormat="1">
      <c r="C200" s="108"/>
      <c r="D200" s="108"/>
      <c r="E200" s="101"/>
      <c r="F200" s="101"/>
      <c r="K200" s="128"/>
      <c r="L200" s="129"/>
    </row>
    <row r="201" spans="3:12" s="127" customFormat="1">
      <c r="C201" s="108"/>
      <c r="D201" s="108"/>
      <c r="E201" s="101"/>
      <c r="F201" s="101"/>
      <c r="K201" s="128"/>
      <c r="L201" s="129"/>
    </row>
    <row r="202" spans="3:12" s="127" customFormat="1">
      <c r="C202" s="108"/>
      <c r="D202" s="108"/>
      <c r="E202" s="101"/>
      <c r="F202" s="101"/>
      <c r="K202" s="128"/>
      <c r="L202" s="129"/>
    </row>
    <row r="203" spans="3:12" s="127" customFormat="1">
      <c r="C203" s="108"/>
      <c r="D203" s="108"/>
      <c r="E203" s="101"/>
      <c r="F203" s="101"/>
      <c r="K203" s="128"/>
      <c r="L203" s="129"/>
    </row>
    <row r="204" spans="3:12" s="127" customFormat="1">
      <c r="C204" s="108"/>
      <c r="D204" s="108"/>
      <c r="E204" s="101"/>
      <c r="F204" s="101"/>
      <c r="K204" s="128"/>
      <c r="L204" s="129"/>
    </row>
    <row r="205" spans="3:12" s="127" customFormat="1">
      <c r="C205" s="108"/>
      <c r="D205" s="108"/>
      <c r="E205" s="101"/>
      <c r="F205" s="101"/>
      <c r="K205" s="128"/>
      <c r="L205" s="129"/>
    </row>
    <row r="206" spans="3:12" s="127" customFormat="1">
      <c r="C206" s="108"/>
      <c r="D206" s="108"/>
      <c r="E206" s="101"/>
      <c r="F206" s="101"/>
      <c r="K206" s="128"/>
      <c r="L206" s="129"/>
    </row>
    <row r="207" spans="3:12" s="127" customFormat="1">
      <c r="C207" s="108"/>
      <c r="D207" s="108"/>
      <c r="E207" s="101"/>
      <c r="F207" s="101"/>
      <c r="K207" s="128"/>
      <c r="L207" s="129"/>
    </row>
    <row r="208" spans="3:12" s="127" customFormat="1">
      <c r="C208" s="108"/>
      <c r="D208" s="108"/>
      <c r="E208" s="101"/>
      <c r="F208" s="101"/>
      <c r="K208" s="128"/>
      <c r="L208" s="129"/>
    </row>
    <row r="209" spans="3:12" s="127" customFormat="1">
      <c r="C209" s="108"/>
      <c r="D209" s="108"/>
      <c r="E209" s="101"/>
      <c r="F209" s="101"/>
      <c r="K209" s="128"/>
      <c r="L209" s="129"/>
    </row>
    <row r="210" spans="3:12" s="127" customFormat="1">
      <c r="C210" s="108"/>
      <c r="D210" s="108"/>
      <c r="E210" s="101"/>
      <c r="F210" s="101"/>
      <c r="K210" s="128"/>
      <c r="L210" s="129"/>
    </row>
    <row r="211" spans="3:12" s="127" customFormat="1">
      <c r="C211" s="108"/>
      <c r="D211" s="108"/>
      <c r="E211" s="101"/>
      <c r="F211" s="101"/>
      <c r="K211" s="128"/>
      <c r="L211" s="129"/>
    </row>
    <row r="212" spans="3:12" s="127" customFormat="1">
      <c r="C212" s="108"/>
      <c r="D212" s="108"/>
      <c r="E212" s="101"/>
      <c r="F212" s="101"/>
      <c r="K212" s="128"/>
      <c r="L212" s="129"/>
    </row>
    <row r="213" spans="3:12" s="127" customFormat="1">
      <c r="C213" s="108"/>
      <c r="D213" s="108"/>
      <c r="E213" s="101"/>
      <c r="F213" s="101"/>
      <c r="K213" s="128"/>
      <c r="L213" s="129"/>
    </row>
    <row r="214" spans="3:12" s="127" customFormat="1">
      <c r="C214" s="108"/>
      <c r="D214" s="108"/>
      <c r="E214" s="101"/>
      <c r="F214" s="101"/>
      <c r="K214" s="128"/>
      <c r="L214" s="129"/>
    </row>
    <row r="215" spans="3:12" s="127" customFormat="1">
      <c r="C215" s="108"/>
      <c r="D215" s="108"/>
      <c r="E215" s="101"/>
      <c r="F215" s="101"/>
      <c r="K215" s="128"/>
      <c r="L215" s="129"/>
    </row>
    <row r="216" spans="3:12" s="127" customFormat="1">
      <c r="C216" s="108"/>
      <c r="D216" s="108"/>
      <c r="E216" s="101"/>
      <c r="F216" s="101"/>
      <c r="K216" s="128"/>
      <c r="L216" s="129"/>
    </row>
    <row r="217" spans="3:12" s="127" customFormat="1">
      <c r="C217" s="108"/>
      <c r="D217" s="108"/>
      <c r="E217" s="101"/>
      <c r="F217" s="101"/>
      <c r="K217" s="128"/>
      <c r="L217" s="129"/>
    </row>
    <row r="218" spans="3:12" s="127" customFormat="1">
      <c r="C218" s="108"/>
      <c r="D218" s="108"/>
      <c r="E218" s="101"/>
      <c r="F218" s="101"/>
      <c r="K218" s="128"/>
      <c r="L218" s="129"/>
    </row>
    <row r="219" spans="3:12" s="127" customFormat="1">
      <c r="C219" s="108"/>
      <c r="D219" s="108"/>
      <c r="E219" s="101"/>
      <c r="F219" s="101"/>
      <c r="K219" s="128"/>
      <c r="L219" s="129"/>
    </row>
    <row r="220" spans="3:12" s="127" customFormat="1">
      <c r="C220" s="108"/>
      <c r="D220" s="108"/>
      <c r="E220" s="101"/>
      <c r="F220" s="101"/>
      <c r="K220" s="128"/>
      <c r="L220" s="129"/>
    </row>
    <row r="221" spans="3:12" s="127" customFormat="1">
      <c r="C221" s="108"/>
      <c r="D221" s="108"/>
      <c r="E221" s="101"/>
      <c r="F221" s="101"/>
      <c r="K221" s="128"/>
      <c r="L221" s="129"/>
    </row>
    <row r="222" spans="3:12" s="127" customFormat="1">
      <c r="C222" s="108"/>
      <c r="D222" s="108"/>
      <c r="E222" s="101"/>
      <c r="F222" s="101"/>
      <c r="K222" s="128"/>
      <c r="L222" s="129"/>
    </row>
    <row r="223" spans="3:12" s="127" customFormat="1">
      <c r="C223" s="108"/>
      <c r="D223" s="108"/>
      <c r="E223" s="101"/>
      <c r="F223" s="101"/>
      <c r="K223" s="128"/>
      <c r="L223" s="129"/>
    </row>
    <row r="224" spans="3:12" s="127" customFormat="1">
      <c r="C224" s="108"/>
      <c r="D224" s="108"/>
      <c r="E224" s="101"/>
      <c r="F224" s="101"/>
      <c r="K224" s="128"/>
      <c r="L224" s="129"/>
    </row>
    <row r="225" spans="3:12" s="127" customFormat="1">
      <c r="C225" s="108"/>
      <c r="D225" s="108"/>
      <c r="E225" s="101"/>
      <c r="F225" s="101"/>
      <c r="K225" s="128"/>
      <c r="L225" s="129"/>
    </row>
    <row r="226" spans="3:12" s="127" customFormat="1">
      <c r="C226" s="108"/>
      <c r="D226" s="108"/>
      <c r="E226" s="101"/>
      <c r="F226" s="101"/>
      <c r="K226" s="128"/>
      <c r="L226" s="129"/>
    </row>
    <row r="227" spans="3:12" s="127" customFormat="1">
      <c r="C227" s="108"/>
      <c r="D227" s="108"/>
      <c r="E227" s="101"/>
      <c r="F227" s="101"/>
      <c r="K227" s="128"/>
      <c r="L227" s="129"/>
    </row>
    <row r="228" spans="3:12" s="127" customFormat="1">
      <c r="C228" s="108"/>
      <c r="D228" s="108"/>
      <c r="E228" s="101"/>
      <c r="F228" s="101"/>
      <c r="K228" s="128"/>
      <c r="L228" s="129"/>
    </row>
    <row r="229" spans="3:12" s="127" customFormat="1">
      <c r="C229" s="108"/>
      <c r="D229" s="108"/>
      <c r="E229" s="101"/>
      <c r="F229" s="101"/>
      <c r="K229" s="128"/>
      <c r="L229" s="129"/>
    </row>
    <row r="230" spans="3:12" s="127" customFormat="1">
      <c r="C230" s="108"/>
      <c r="D230" s="108"/>
      <c r="E230" s="101"/>
      <c r="F230" s="101"/>
      <c r="K230" s="128"/>
      <c r="L230" s="129"/>
    </row>
    <row r="231" spans="3:12" s="127" customFormat="1">
      <c r="C231" s="108"/>
      <c r="D231" s="108"/>
      <c r="E231" s="101"/>
      <c r="F231" s="101"/>
      <c r="K231" s="128"/>
      <c r="L231" s="129"/>
    </row>
    <row r="232" spans="3:12" s="127" customFormat="1">
      <c r="C232" s="108"/>
      <c r="D232" s="108"/>
      <c r="E232" s="101"/>
      <c r="F232" s="101"/>
      <c r="K232" s="128"/>
      <c r="L232" s="129"/>
    </row>
    <row r="233" spans="3:12" s="127" customFormat="1">
      <c r="C233" s="108"/>
      <c r="D233" s="108"/>
      <c r="E233" s="101"/>
      <c r="F233" s="101"/>
      <c r="K233" s="128"/>
      <c r="L233" s="129"/>
    </row>
    <row r="234" spans="3:12" s="127" customFormat="1">
      <c r="C234" s="108"/>
      <c r="D234" s="108"/>
      <c r="E234" s="101"/>
      <c r="F234" s="101"/>
      <c r="K234" s="128"/>
      <c r="L234" s="129"/>
    </row>
    <row r="235" spans="3:12" s="127" customFormat="1">
      <c r="C235" s="108"/>
      <c r="D235" s="108"/>
      <c r="E235" s="101"/>
      <c r="F235" s="101"/>
      <c r="K235" s="128"/>
      <c r="L235" s="129"/>
    </row>
    <row r="236" spans="3:12" s="127" customFormat="1">
      <c r="C236" s="108"/>
      <c r="D236" s="108"/>
      <c r="E236" s="101"/>
      <c r="F236" s="101"/>
      <c r="K236" s="128"/>
      <c r="L236" s="129"/>
    </row>
    <row r="237" spans="3:12" s="127" customFormat="1">
      <c r="C237" s="108"/>
      <c r="D237" s="108"/>
      <c r="E237" s="101"/>
      <c r="F237" s="101"/>
      <c r="K237" s="128"/>
      <c r="L237" s="129"/>
    </row>
    <row r="238" spans="3:12" s="127" customFormat="1">
      <c r="C238" s="108"/>
      <c r="D238" s="108"/>
      <c r="E238" s="101"/>
      <c r="F238" s="101"/>
      <c r="K238" s="128"/>
      <c r="L238" s="129"/>
    </row>
  </sheetData>
  <mergeCells count="3">
    <mergeCell ref="L21:L22"/>
    <mergeCell ref="A1:B5"/>
    <mergeCell ref="C1:E5"/>
  </mergeCells>
  <phoneticPr fontId="6" type="noConversion"/>
  <pageMargins left="0.7" right="0.7" top="0.75" bottom="0.75" header="0.3" footer="0.3"/>
  <pageSetup paperSize="9" scale="24"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AS51"/>
  <sheetViews>
    <sheetView workbookViewId="0">
      <selection activeCell="A26" sqref="A26"/>
    </sheetView>
  </sheetViews>
  <sheetFormatPr defaultRowHeight="13.5"/>
  <cols>
    <col min="1" max="1" width="7.5" style="77" customWidth="1"/>
    <col min="2" max="2" width="5" style="77" customWidth="1"/>
    <col min="3" max="3" width="5.375" style="77" customWidth="1"/>
    <col min="4" max="4" width="9.75" style="77" bestFit="1" customWidth="1"/>
    <col min="5" max="5" width="13.875" style="135" bestFit="1" customWidth="1"/>
    <col min="6" max="9" width="9" style="137"/>
    <col min="10" max="10" width="14.875" style="153" bestFit="1" customWidth="1"/>
    <col min="11" max="12" width="9.125" style="137" bestFit="1" customWidth="1"/>
    <col min="13" max="13" width="10.5" style="137" bestFit="1" customWidth="1"/>
    <col min="14" max="15" width="9.75" style="137" bestFit="1" customWidth="1"/>
    <col min="16" max="16" width="9" style="137"/>
    <col min="17" max="17" width="9" style="77"/>
    <col min="18" max="18" width="9.125" style="77" bestFit="1" customWidth="1"/>
    <col min="19" max="19" width="9" style="77"/>
    <col min="20" max="20" width="9.25" style="77" bestFit="1" customWidth="1"/>
    <col min="21" max="24" width="9" style="77"/>
    <col min="25" max="25" width="9.125" style="137" bestFit="1" customWidth="1"/>
    <col min="26" max="29" width="9.75" style="77" bestFit="1" customWidth="1"/>
    <col min="30" max="30" width="9" style="77"/>
    <col min="31" max="31" width="9.125" style="77" bestFit="1" customWidth="1"/>
    <col min="32" max="37" width="9" style="77"/>
    <col min="38" max="39" width="9.125" style="77" bestFit="1" customWidth="1"/>
    <col min="40" max="40" width="9" style="77"/>
    <col min="41" max="41" width="9.125" style="77" bestFit="1" customWidth="1"/>
    <col min="42" max="42" width="9" style="77"/>
    <col min="43" max="43" width="9.125" style="77" bestFit="1" customWidth="1"/>
    <col min="44" max="44" width="9" style="77"/>
    <col min="45" max="45" width="9.125" style="77" bestFit="1" customWidth="1"/>
    <col min="46" max="16384" width="9" style="77"/>
  </cols>
  <sheetData>
    <row r="1" spans="1:45">
      <c r="A1" s="77" t="s">
        <v>227</v>
      </c>
      <c r="B1" s="77" t="s">
        <v>228</v>
      </c>
      <c r="C1" s="77" t="s">
        <v>229</v>
      </c>
      <c r="D1" s="77" t="s">
        <v>230</v>
      </c>
      <c r="E1" s="135" t="s">
        <v>231</v>
      </c>
      <c r="F1" s="137" t="s">
        <v>232</v>
      </c>
      <c r="G1" s="137" t="s">
        <v>233</v>
      </c>
      <c r="H1" s="137" t="s">
        <v>234</v>
      </c>
      <c r="I1" s="137" t="s">
        <v>350</v>
      </c>
      <c r="J1" s="153" t="s">
        <v>236</v>
      </c>
      <c r="K1" s="137" t="s">
        <v>351</v>
      </c>
      <c r="L1" s="137" t="s">
        <v>352</v>
      </c>
      <c r="M1" s="137" t="s">
        <v>237</v>
      </c>
      <c r="N1" s="137" t="s">
        <v>238</v>
      </c>
      <c r="O1" s="137" t="s">
        <v>353</v>
      </c>
      <c r="P1" s="137" t="s">
        <v>239</v>
      </c>
      <c r="Q1" s="77" t="s">
        <v>240</v>
      </c>
      <c r="R1" s="77" t="s">
        <v>241</v>
      </c>
      <c r="S1" s="77" t="s">
        <v>242</v>
      </c>
      <c r="T1" s="77" t="s">
        <v>243</v>
      </c>
      <c r="U1" s="77" t="s">
        <v>244</v>
      </c>
      <c r="V1" s="77" t="s">
        <v>245</v>
      </c>
      <c r="W1" s="77" t="s">
        <v>246</v>
      </c>
      <c r="X1" s="77" t="s">
        <v>247</v>
      </c>
      <c r="Y1" s="137" t="s">
        <v>248</v>
      </c>
      <c r="Z1" s="77" t="s">
        <v>249</v>
      </c>
      <c r="AA1" s="77" t="s">
        <v>250</v>
      </c>
      <c r="AB1" s="77" t="s">
        <v>251</v>
      </c>
      <c r="AC1" s="77" t="s">
        <v>252</v>
      </c>
      <c r="AD1" s="77" t="s">
        <v>253</v>
      </c>
      <c r="AE1" s="77" t="s">
        <v>254</v>
      </c>
      <c r="AF1" s="77" t="s">
        <v>255</v>
      </c>
      <c r="AG1" s="77" t="s">
        <v>256</v>
      </c>
      <c r="AH1" s="77" t="s">
        <v>257</v>
      </c>
      <c r="AI1" s="77" t="s">
        <v>258</v>
      </c>
      <c r="AJ1" s="77" t="s">
        <v>259</v>
      </c>
      <c r="AK1" s="77" t="s">
        <v>260</v>
      </c>
      <c r="AL1" s="77" t="s">
        <v>261</v>
      </c>
      <c r="AM1" s="77" t="s">
        <v>262</v>
      </c>
      <c r="AN1" s="77" t="s">
        <v>263</v>
      </c>
      <c r="AO1" s="77" t="s">
        <v>264</v>
      </c>
      <c r="AP1" s="77" t="s">
        <v>265</v>
      </c>
      <c r="AQ1" s="77" t="s">
        <v>266</v>
      </c>
      <c r="AR1" s="77" t="s">
        <v>267</v>
      </c>
      <c r="AS1" s="77" t="s">
        <v>268</v>
      </c>
    </row>
    <row r="2" spans="1:45">
      <c r="A2" s="77">
        <v>1</v>
      </c>
      <c r="B2" s="77">
        <v>1</v>
      </c>
      <c r="C2" s="77" t="s">
        <v>269</v>
      </c>
      <c r="D2" s="154">
        <v>45408</v>
      </c>
      <c r="E2" s="135">
        <v>2024042600107</v>
      </c>
      <c r="F2" s="137" t="s">
        <v>270</v>
      </c>
      <c r="G2" s="137" t="s">
        <v>354</v>
      </c>
      <c r="H2" s="137" t="s">
        <v>225</v>
      </c>
      <c r="I2" s="137" t="s">
        <v>222</v>
      </c>
      <c r="J2" s="153">
        <v>45000000</v>
      </c>
      <c r="K2" s="137">
        <v>31</v>
      </c>
      <c r="L2" s="137">
        <v>2.92</v>
      </c>
      <c r="M2" s="139">
        <v>113150</v>
      </c>
      <c r="N2" s="138">
        <v>45401</v>
      </c>
      <c r="O2" s="138">
        <v>45432</v>
      </c>
      <c r="P2" s="137" t="s">
        <v>355</v>
      </c>
      <c r="Q2" s="77" t="s">
        <v>204</v>
      </c>
      <c r="R2" s="155">
        <v>692772</v>
      </c>
      <c r="S2" s="77" t="s">
        <v>203</v>
      </c>
      <c r="T2" s="77">
        <v>248.25</v>
      </c>
      <c r="U2" s="77" t="s">
        <v>356</v>
      </c>
      <c r="V2" s="77" t="s">
        <v>357</v>
      </c>
      <c r="Y2" s="137">
        <v>164043</v>
      </c>
      <c r="AF2" s="77" t="s">
        <v>271</v>
      </c>
      <c r="AG2" s="77" t="s">
        <v>271</v>
      </c>
      <c r="AJ2" s="77" t="s">
        <v>358</v>
      </c>
      <c r="AK2" s="77" t="s">
        <v>359</v>
      </c>
      <c r="AR2" s="77" t="s">
        <v>272</v>
      </c>
    </row>
    <row r="3" spans="1:45">
      <c r="A3" s="77">
        <v>2</v>
      </c>
      <c r="B3" s="77">
        <v>1</v>
      </c>
      <c r="C3" s="77" t="s">
        <v>269</v>
      </c>
      <c r="D3" s="154">
        <v>45408</v>
      </c>
      <c r="E3" s="135">
        <v>2024042600207</v>
      </c>
      <c r="F3" s="137" t="s">
        <v>483</v>
      </c>
      <c r="G3" s="137" t="s">
        <v>474</v>
      </c>
      <c r="H3" s="137" t="s">
        <v>225</v>
      </c>
      <c r="I3" s="137" t="s">
        <v>217</v>
      </c>
      <c r="J3" s="153">
        <v>70000000</v>
      </c>
      <c r="K3" s="137">
        <v>93</v>
      </c>
      <c r="L3" s="137">
        <v>2.1</v>
      </c>
      <c r="M3" s="139">
        <v>379750</v>
      </c>
      <c r="N3" s="138">
        <v>45401</v>
      </c>
      <c r="O3" s="138">
        <v>45494</v>
      </c>
      <c r="P3" s="137" t="s">
        <v>360</v>
      </c>
      <c r="Q3" s="77" t="s">
        <v>204</v>
      </c>
      <c r="R3" s="155">
        <v>3650656</v>
      </c>
      <c r="S3" s="77" t="s">
        <v>204</v>
      </c>
      <c r="T3" s="155">
        <v>3555321</v>
      </c>
      <c r="U3" s="77" t="s">
        <v>356</v>
      </c>
      <c r="V3" s="77" t="s">
        <v>361</v>
      </c>
      <c r="Y3" s="137">
        <v>164320</v>
      </c>
      <c r="AF3" s="77" t="s">
        <v>271</v>
      </c>
      <c r="AG3" s="77" t="s">
        <v>271</v>
      </c>
      <c r="AJ3" s="77" t="s">
        <v>273</v>
      </c>
      <c r="AK3" s="77" t="s">
        <v>273</v>
      </c>
      <c r="AR3" s="77" t="s">
        <v>272</v>
      </c>
    </row>
    <row r="4" spans="1:45">
      <c r="A4" s="77">
        <v>3</v>
      </c>
      <c r="B4" s="77">
        <v>1</v>
      </c>
      <c r="C4" s="77" t="s">
        <v>269</v>
      </c>
      <c r="D4" s="154">
        <v>45408</v>
      </c>
      <c r="E4" s="135">
        <v>2024042600307</v>
      </c>
      <c r="F4" s="137" t="s">
        <v>487</v>
      </c>
      <c r="G4" s="137" t="s">
        <v>475</v>
      </c>
      <c r="H4" s="137" t="s">
        <v>225</v>
      </c>
      <c r="I4" s="137" t="s">
        <v>363</v>
      </c>
      <c r="J4" s="153">
        <v>1500000000</v>
      </c>
      <c r="K4" s="137">
        <v>1</v>
      </c>
      <c r="L4" s="137">
        <v>2.2254999999999998</v>
      </c>
      <c r="M4" s="139">
        <v>30909.72</v>
      </c>
      <c r="N4" s="138">
        <v>45385</v>
      </c>
      <c r="O4" s="138">
        <v>45386</v>
      </c>
      <c r="P4" s="137" t="s">
        <v>364</v>
      </c>
      <c r="Q4" s="77" t="s">
        <v>204</v>
      </c>
      <c r="R4" s="155">
        <v>51701</v>
      </c>
      <c r="S4" s="77" t="s">
        <v>204</v>
      </c>
      <c r="T4" s="77">
        <v>0</v>
      </c>
      <c r="U4" s="77" t="s">
        <v>365</v>
      </c>
      <c r="V4" s="77" t="s">
        <v>362</v>
      </c>
      <c r="Y4" s="137">
        <v>144645</v>
      </c>
      <c r="AF4" s="77" t="s">
        <v>271</v>
      </c>
      <c r="AG4" s="77" t="s">
        <v>271</v>
      </c>
      <c r="AI4" s="77" t="s">
        <v>366</v>
      </c>
      <c r="AJ4" s="77" t="s">
        <v>367</v>
      </c>
      <c r="AK4" s="77" t="s">
        <v>368</v>
      </c>
      <c r="AR4" s="77" t="s">
        <v>272</v>
      </c>
    </row>
    <row r="5" spans="1:45">
      <c r="A5" s="77">
        <v>4</v>
      </c>
      <c r="B5" s="77">
        <v>1</v>
      </c>
      <c r="C5" s="77" t="s">
        <v>269</v>
      </c>
      <c r="D5" s="154">
        <v>45408</v>
      </c>
      <c r="E5" s="135">
        <v>2024042600407</v>
      </c>
      <c r="F5" s="137" t="s">
        <v>475</v>
      </c>
      <c r="G5" s="137" t="s">
        <v>488</v>
      </c>
      <c r="H5" s="137" t="s">
        <v>225</v>
      </c>
      <c r="I5" s="137" t="s">
        <v>223</v>
      </c>
      <c r="J5" s="153">
        <v>18000000</v>
      </c>
      <c r="K5" s="137">
        <v>62</v>
      </c>
      <c r="L5" s="137">
        <v>-0.12</v>
      </c>
      <c r="M5" s="139">
        <v>-2066.66</v>
      </c>
      <c r="N5" s="138">
        <v>45401</v>
      </c>
      <c r="O5" s="138">
        <v>45463</v>
      </c>
      <c r="P5" s="137" t="s">
        <v>369</v>
      </c>
      <c r="Q5" s="77" t="s">
        <v>203</v>
      </c>
      <c r="R5" s="77">
        <v>365.81</v>
      </c>
      <c r="S5" s="77" t="s">
        <v>204</v>
      </c>
      <c r="T5" s="155">
        <v>255209</v>
      </c>
      <c r="U5" s="77" t="s">
        <v>370</v>
      </c>
      <c r="V5" s="77" t="s">
        <v>371</v>
      </c>
      <c r="Y5" s="137">
        <v>171340</v>
      </c>
      <c r="AF5" s="77" t="s">
        <v>271</v>
      </c>
      <c r="AG5" s="77" t="s">
        <v>271</v>
      </c>
      <c r="AJ5" s="77" t="s">
        <v>372</v>
      </c>
      <c r="AK5" s="77" t="s">
        <v>373</v>
      </c>
      <c r="AR5" s="77" t="s">
        <v>272</v>
      </c>
    </row>
    <row r="6" spans="1:45">
      <c r="A6" s="77">
        <v>5</v>
      </c>
      <c r="B6" s="77">
        <v>1</v>
      </c>
      <c r="C6" s="77" t="s">
        <v>269</v>
      </c>
      <c r="D6" s="154">
        <v>45408</v>
      </c>
      <c r="E6" s="135">
        <v>2024042600507</v>
      </c>
      <c r="F6" s="137" t="s">
        <v>480</v>
      </c>
      <c r="G6" s="137" t="s">
        <v>473</v>
      </c>
      <c r="H6" s="137" t="s">
        <v>225</v>
      </c>
      <c r="I6" s="137" t="s">
        <v>363</v>
      </c>
      <c r="J6" s="153">
        <v>52000000</v>
      </c>
      <c r="K6" s="137">
        <v>1</v>
      </c>
      <c r="L6" s="137">
        <v>0.15</v>
      </c>
      <c r="M6" s="137">
        <v>45.21</v>
      </c>
      <c r="N6" s="138">
        <v>45399</v>
      </c>
      <c r="O6" s="138">
        <v>45400</v>
      </c>
      <c r="P6" s="137" t="s">
        <v>374</v>
      </c>
      <c r="Q6" s="77" t="s">
        <v>204</v>
      </c>
      <c r="R6" s="155">
        <v>10439</v>
      </c>
      <c r="S6" s="77" t="s">
        <v>204</v>
      </c>
      <c r="T6" s="155">
        <v>5093</v>
      </c>
      <c r="U6" s="77" t="s">
        <v>356</v>
      </c>
      <c r="V6" s="77" t="s">
        <v>226</v>
      </c>
      <c r="Y6" s="137">
        <v>172121</v>
      </c>
      <c r="AF6" s="77" t="s">
        <v>271</v>
      </c>
      <c r="AG6" s="77" t="s">
        <v>271</v>
      </c>
      <c r="AJ6" s="77" t="s">
        <v>273</v>
      </c>
      <c r="AK6" s="77" t="s">
        <v>273</v>
      </c>
      <c r="AR6" s="77" t="s">
        <v>272</v>
      </c>
    </row>
    <row r="7" spans="1:45">
      <c r="A7" s="77">
        <v>6</v>
      </c>
      <c r="B7" s="77">
        <v>1</v>
      </c>
      <c r="C7" s="77" t="s">
        <v>269</v>
      </c>
      <c r="D7" s="154">
        <v>45408</v>
      </c>
      <c r="E7" s="135">
        <v>2024042600607</v>
      </c>
      <c r="F7" s="137" t="s">
        <v>477</v>
      </c>
      <c r="G7" s="137" t="s">
        <v>479</v>
      </c>
      <c r="H7" s="137" t="s">
        <v>225</v>
      </c>
      <c r="I7" s="137" t="s">
        <v>363</v>
      </c>
      <c r="J7" s="153">
        <v>17500000</v>
      </c>
      <c r="K7" s="137">
        <v>1</v>
      </c>
      <c r="L7" s="137">
        <v>0.15</v>
      </c>
      <c r="M7" s="137">
        <v>71.92</v>
      </c>
      <c r="N7" s="138">
        <v>45399</v>
      </c>
      <c r="O7" s="138">
        <v>45400</v>
      </c>
      <c r="P7" s="137" t="s">
        <v>375</v>
      </c>
      <c r="Q7" s="77" t="s">
        <v>203</v>
      </c>
      <c r="R7" s="77">
        <v>0.61</v>
      </c>
      <c r="S7" s="77" t="s">
        <v>204</v>
      </c>
      <c r="T7" s="155">
        <v>1706</v>
      </c>
      <c r="U7" s="77" t="s">
        <v>376</v>
      </c>
      <c r="V7" s="77" t="s">
        <v>356</v>
      </c>
      <c r="Y7" s="137">
        <v>172708</v>
      </c>
      <c r="AF7" s="77" t="s">
        <v>271</v>
      </c>
      <c r="AG7" s="77" t="s">
        <v>271</v>
      </c>
      <c r="AJ7" s="77" t="s">
        <v>273</v>
      </c>
      <c r="AK7" s="77" t="s">
        <v>273</v>
      </c>
      <c r="AR7" s="77" t="s">
        <v>272</v>
      </c>
    </row>
    <row r="8" spans="1:45">
      <c r="A8" s="77">
        <v>7</v>
      </c>
      <c r="B8" s="77">
        <v>1</v>
      </c>
      <c r="C8" s="77" t="s">
        <v>269</v>
      </c>
      <c r="D8" s="154">
        <v>45408</v>
      </c>
      <c r="E8" s="135">
        <v>2024042600707</v>
      </c>
      <c r="F8" s="137" t="s">
        <v>482</v>
      </c>
      <c r="G8" s="137" t="s">
        <v>486</v>
      </c>
      <c r="H8" s="137" t="s">
        <v>225</v>
      </c>
      <c r="I8" s="137" t="s">
        <v>363</v>
      </c>
      <c r="J8" s="153">
        <v>3000000000</v>
      </c>
      <c r="K8" s="137">
        <v>1</v>
      </c>
      <c r="L8" s="137">
        <v>0.15</v>
      </c>
      <c r="M8" s="137">
        <v>416</v>
      </c>
      <c r="N8" s="138">
        <v>45399</v>
      </c>
      <c r="O8" s="138">
        <v>45400</v>
      </c>
      <c r="P8" s="137" t="s">
        <v>378</v>
      </c>
      <c r="Q8" s="77" t="s">
        <v>204</v>
      </c>
      <c r="R8" s="77">
        <v>0</v>
      </c>
      <c r="S8" s="77" t="s">
        <v>204</v>
      </c>
      <c r="T8" s="77">
        <v>246</v>
      </c>
      <c r="U8" s="77" t="s">
        <v>377</v>
      </c>
      <c r="V8" s="77" t="s">
        <v>226</v>
      </c>
      <c r="Y8" s="137">
        <v>174556</v>
      </c>
      <c r="AF8" s="77" t="s">
        <v>271</v>
      </c>
      <c r="AG8" s="77" t="s">
        <v>271</v>
      </c>
      <c r="AH8" s="77" t="s">
        <v>379</v>
      </c>
      <c r="AJ8" s="77" t="s">
        <v>273</v>
      </c>
      <c r="AK8" s="77" t="s">
        <v>273</v>
      </c>
      <c r="AR8" s="77" t="s">
        <v>272</v>
      </c>
    </row>
    <row r="9" spans="1:45">
      <c r="A9" s="77">
        <v>8</v>
      </c>
      <c r="B9" s="77">
        <v>1</v>
      </c>
      <c r="C9" s="77" t="s">
        <v>269</v>
      </c>
      <c r="D9" s="154">
        <v>45408</v>
      </c>
      <c r="E9" s="135">
        <v>2024042600807</v>
      </c>
      <c r="F9" s="137" t="s">
        <v>485</v>
      </c>
      <c r="G9" s="137" t="s">
        <v>481</v>
      </c>
      <c r="H9" s="137" t="s">
        <v>225</v>
      </c>
      <c r="I9" s="137" t="s">
        <v>363</v>
      </c>
      <c r="J9" s="153">
        <v>20000000</v>
      </c>
      <c r="K9" s="137">
        <v>1</v>
      </c>
      <c r="L9" s="137">
        <v>2.5</v>
      </c>
      <c r="M9" s="137">
        <v>138.88999999999999</v>
      </c>
      <c r="N9" s="138">
        <v>45399</v>
      </c>
      <c r="O9" s="138">
        <v>45400</v>
      </c>
      <c r="P9" s="137" t="s">
        <v>380</v>
      </c>
      <c r="Q9" s="77" t="s">
        <v>204</v>
      </c>
      <c r="R9" s="77">
        <v>452</v>
      </c>
      <c r="S9" s="77" t="s">
        <v>204</v>
      </c>
      <c r="T9" s="77">
        <v>912</v>
      </c>
      <c r="U9" s="77" t="s">
        <v>381</v>
      </c>
      <c r="V9" s="77" t="s">
        <v>356</v>
      </c>
      <c r="Y9" s="137">
        <v>174749</v>
      </c>
      <c r="AF9" s="77" t="s">
        <v>271</v>
      </c>
      <c r="AG9" s="77" t="s">
        <v>271</v>
      </c>
      <c r="AJ9" s="77" t="s">
        <v>273</v>
      </c>
      <c r="AK9" s="77" t="s">
        <v>273</v>
      </c>
      <c r="AR9" s="77" t="s">
        <v>272</v>
      </c>
    </row>
    <row r="10" spans="1:45">
      <c r="A10" s="77">
        <v>9</v>
      </c>
      <c r="B10" s="77">
        <v>1</v>
      </c>
      <c r="C10" s="77" t="s">
        <v>269</v>
      </c>
      <c r="D10" s="154">
        <v>45408</v>
      </c>
      <c r="E10" s="135">
        <v>2024042600907</v>
      </c>
      <c r="F10" s="137" t="s">
        <v>474</v>
      </c>
      <c r="G10" s="137" t="s">
        <v>475</v>
      </c>
      <c r="H10" s="137" t="s">
        <v>225</v>
      </c>
      <c r="I10" s="137" t="s">
        <v>220</v>
      </c>
      <c r="J10" s="153">
        <v>35000000</v>
      </c>
      <c r="K10" s="137">
        <v>3</v>
      </c>
      <c r="L10" s="137">
        <v>1.1000000000000001</v>
      </c>
      <c r="M10" s="137">
        <v>27.12</v>
      </c>
      <c r="N10" s="138">
        <v>45401</v>
      </c>
      <c r="O10" s="138">
        <v>45404</v>
      </c>
      <c r="P10" s="137" t="s">
        <v>382</v>
      </c>
      <c r="Q10" s="77" t="s">
        <v>204</v>
      </c>
      <c r="R10" s="77">
        <v>238</v>
      </c>
      <c r="S10" s="77" t="s">
        <v>204</v>
      </c>
      <c r="T10" s="77">
        <v>0</v>
      </c>
      <c r="U10" s="77" t="s">
        <v>226</v>
      </c>
      <c r="V10" s="77" t="s">
        <v>377</v>
      </c>
      <c r="Y10" s="137">
        <v>180536</v>
      </c>
      <c r="AF10" s="77" t="s">
        <v>271</v>
      </c>
      <c r="AG10" s="77" t="s">
        <v>271</v>
      </c>
      <c r="AI10" s="77" t="s">
        <v>379</v>
      </c>
      <c r="AJ10" s="77" t="s">
        <v>273</v>
      </c>
      <c r="AK10" s="77" t="s">
        <v>273</v>
      </c>
      <c r="AR10" s="77" t="s">
        <v>272</v>
      </c>
    </row>
    <row r="11" spans="1:45" s="78" customFormat="1">
      <c r="A11" s="78">
        <v>10</v>
      </c>
      <c r="B11" s="78">
        <v>1</v>
      </c>
      <c r="C11" s="78" t="s">
        <v>269</v>
      </c>
      <c r="D11" s="154">
        <v>45408</v>
      </c>
      <c r="E11" s="135">
        <v>2024042601007</v>
      </c>
      <c r="F11" s="137" t="s">
        <v>475</v>
      </c>
      <c r="G11" s="137" t="s">
        <v>489</v>
      </c>
      <c r="H11" s="137" t="s">
        <v>225</v>
      </c>
      <c r="I11" s="137" t="s">
        <v>363</v>
      </c>
      <c r="J11" s="153">
        <v>100000000</v>
      </c>
      <c r="K11" s="137">
        <v>1</v>
      </c>
      <c r="L11" s="137">
        <v>5.6</v>
      </c>
      <c r="M11" s="139">
        <v>4666666.67</v>
      </c>
      <c r="N11" s="138">
        <v>45385</v>
      </c>
      <c r="O11" s="138">
        <v>45386</v>
      </c>
      <c r="P11" s="137" t="s">
        <v>203</v>
      </c>
      <c r="Q11" s="78" t="s">
        <v>203</v>
      </c>
      <c r="R11" s="156">
        <v>8333.33</v>
      </c>
      <c r="S11" s="78" t="s">
        <v>204</v>
      </c>
      <c r="T11" s="155">
        <v>22178324</v>
      </c>
      <c r="U11" s="78" t="s">
        <v>376</v>
      </c>
      <c r="V11" s="78" t="s">
        <v>361</v>
      </c>
      <c r="Y11" s="137">
        <v>111618</v>
      </c>
      <c r="AF11" s="78" t="s">
        <v>271</v>
      </c>
      <c r="AG11" s="78" t="s">
        <v>271</v>
      </c>
      <c r="AJ11" s="78" t="s">
        <v>383</v>
      </c>
      <c r="AK11" s="78" t="s">
        <v>384</v>
      </c>
      <c r="AR11" s="78" t="s">
        <v>272</v>
      </c>
    </row>
    <row r="12" spans="1:45" ht="14.25" customHeight="1">
      <c r="A12" s="77">
        <v>11</v>
      </c>
      <c r="B12" s="77">
        <v>1</v>
      </c>
      <c r="C12" s="77" t="s">
        <v>269</v>
      </c>
      <c r="D12" s="154">
        <v>45408</v>
      </c>
      <c r="E12" s="135">
        <v>2024042600105</v>
      </c>
      <c r="F12" s="137" t="s">
        <v>274</v>
      </c>
      <c r="G12" s="137" t="s">
        <v>295</v>
      </c>
      <c r="H12" s="137" t="s">
        <v>224</v>
      </c>
      <c r="I12" s="137" t="s">
        <v>221</v>
      </c>
      <c r="J12" s="153">
        <v>50000000</v>
      </c>
      <c r="K12" s="137">
        <v>0</v>
      </c>
      <c r="L12" s="137">
        <v>0</v>
      </c>
      <c r="M12" s="139">
        <v>1356.1</v>
      </c>
      <c r="O12" s="138">
        <v>45488</v>
      </c>
      <c r="P12" s="137" t="s">
        <v>208</v>
      </c>
      <c r="Q12" s="77" t="s">
        <v>204</v>
      </c>
      <c r="R12" s="77">
        <v>0</v>
      </c>
      <c r="S12" s="77" t="s">
        <v>204</v>
      </c>
      <c r="T12" s="77">
        <v>0</v>
      </c>
      <c r="U12" s="77" t="s">
        <v>385</v>
      </c>
      <c r="V12" s="77" t="s">
        <v>386</v>
      </c>
      <c r="Y12" s="137">
        <v>103555</v>
      </c>
      <c r="AF12" s="77" t="s">
        <v>271</v>
      </c>
      <c r="AG12" s="77" t="s">
        <v>271</v>
      </c>
      <c r="AJ12" s="77" t="s">
        <v>273</v>
      </c>
      <c r="AK12" s="77" t="s">
        <v>273</v>
      </c>
      <c r="AR12" s="77" t="s">
        <v>272</v>
      </c>
    </row>
    <row r="13" spans="1:45" s="78" customFormat="1" ht="14.25" customHeight="1">
      <c r="A13" s="78">
        <v>13</v>
      </c>
      <c r="B13" s="78">
        <v>3</v>
      </c>
      <c r="C13" s="78" t="s">
        <v>269</v>
      </c>
      <c r="D13" s="154">
        <v>45408</v>
      </c>
      <c r="E13" s="135">
        <v>2024042600301</v>
      </c>
      <c r="F13" s="137" t="s">
        <v>295</v>
      </c>
      <c r="G13" s="137" t="s">
        <v>486</v>
      </c>
      <c r="H13" s="137" t="s">
        <v>219</v>
      </c>
      <c r="I13" s="137" t="s">
        <v>389</v>
      </c>
      <c r="J13" s="153">
        <v>111222333.4444</v>
      </c>
      <c r="K13" s="137">
        <v>-2.1233</v>
      </c>
      <c r="L13" s="139">
        <v>1348.5554999999999</v>
      </c>
      <c r="M13" s="139">
        <v>1346.4322</v>
      </c>
      <c r="N13" s="138">
        <v>45447</v>
      </c>
      <c r="O13" s="138">
        <v>45478</v>
      </c>
      <c r="P13" s="137" t="s">
        <v>208</v>
      </c>
      <c r="Q13" s="78" t="s">
        <v>204</v>
      </c>
      <c r="R13" s="155">
        <v>889760</v>
      </c>
      <c r="S13" s="78" t="s">
        <v>204</v>
      </c>
      <c r="T13" s="155">
        <v>1445860</v>
      </c>
      <c r="U13" s="78" t="s">
        <v>387</v>
      </c>
      <c r="V13" s="78" t="s">
        <v>390</v>
      </c>
      <c r="Y13" s="137">
        <v>174140</v>
      </c>
      <c r="AF13" s="78" t="s">
        <v>271</v>
      </c>
      <c r="AG13" s="78" t="s">
        <v>271</v>
      </c>
      <c r="AJ13" s="78" t="s">
        <v>273</v>
      </c>
      <c r="AK13" s="78" t="s">
        <v>273</v>
      </c>
      <c r="AL13" s="78" t="s">
        <v>391</v>
      </c>
      <c r="AR13" s="78" t="s">
        <v>272</v>
      </c>
    </row>
    <row r="14" spans="1:45">
      <c r="A14" s="77">
        <v>15</v>
      </c>
      <c r="B14" s="77">
        <v>1</v>
      </c>
      <c r="C14" s="77" t="s">
        <v>269</v>
      </c>
      <c r="D14" s="154">
        <v>45408</v>
      </c>
      <c r="E14" s="135">
        <v>2024042601101</v>
      </c>
      <c r="F14" s="137" t="s">
        <v>482</v>
      </c>
      <c r="G14" s="137" t="s">
        <v>474</v>
      </c>
      <c r="H14" s="137" t="s">
        <v>219</v>
      </c>
      <c r="I14" s="137" t="s">
        <v>222</v>
      </c>
      <c r="J14" s="153">
        <v>100000000000</v>
      </c>
      <c r="K14" s="137">
        <v>-2.2222</v>
      </c>
      <c r="L14" s="139">
        <v>1325.3333</v>
      </c>
      <c r="M14" s="139">
        <v>1323.1111000000001</v>
      </c>
      <c r="N14" s="138">
        <v>45387</v>
      </c>
      <c r="O14" s="138">
        <v>45419</v>
      </c>
      <c r="P14" s="137" t="s">
        <v>392</v>
      </c>
      <c r="Q14" s="77" t="s">
        <v>204</v>
      </c>
      <c r="R14" s="155">
        <v>200000</v>
      </c>
      <c r="S14" s="77" t="s">
        <v>204</v>
      </c>
      <c r="T14" s="155">
        <v>100000</v>
      </c>
      <c r="U14" s="77" t="s">
        <v>393</v>
      </c>
      <c r="V14" s="77" t="s">
        <v>394</v>
      </c>
      <c r="Y14" s="137">
        <v>180639</v>
      </c>
      <c r="AF14" s="77" t="s">
        <v>271</v>
      </c>
      <c r="AG14" s="77" t="s">
        <v>271</v>
      </c>
      <c r="AJ14" s="77" t="s">
        <v>273</v>
      </c>
      <c r="AK14" s="77" t="s">
        <v>273</v>
      </c>
      <c r="AL14" s="77" t="s">
        <v>395</v>
      </c>
      <c r="AM14" s="77" t="s">
        <v>395</v>
      </c>
      <c r="AR14" s="77" t="s">
        <v>272</v>
      </c>
    </row>
    <row r="15" spans="1:45">
      <c r="A15" s="77">
        <v>16</v>
      </c>
      <c r="B15" s="77">
        <v>1</v>
      </c>
      <c r="C15" s="77" t="s">
        <v>269</v>
      </c>
      <c r="D15" s="154">
        <v>45408</v>
      </c>
      <c r="E15" s="135">
        <v>2024042601201</v>
      </c>
      <c r="F15" s="137" t="s">
        <v>474</v>
      </c>
      <c r="G15" s="137" t="s">
        <v>482</v>
      </c>
      <c r="H15" s="137" t="s">
        <v>219</v>
      </c>
      <c r="I15" s="137" t="s">
        <v>222</v>
      </c>
      <c r="J15" s="153">
        <v>88000000</v>
      </c>
      <c r="K15" s="137">
        <v>-2.1</v>
      </c>
      <c r="L15" s="139">
        <v>1325.3333</v>
      </c>
      <c r="M15" s="139">
        <v>1323.1111000000001</v>
      </c>
      <c r="N15" s="138">
        <v>45387</v>
      </c>
      <c r="O15" s="138">
        <v>45419</v>
      </c>
      <c r="P15" s="137" t="s">
        <v>396</v>
      </c>
      <c r="Q15" s="77" t="s">
        <v>204</v>
      </c>
      <c r="R15" s="155">
        <v>200000</v>
      </c>
      <c r="S15" s="77" t="s">
        <v>204</v>
      </c>
      <c r="T15" s="155">
        <v>100000</v>
      </c>
      <c r="U15" s="77" t="s">
        <v>393</v>
      </c>
      <c r="V15" s="77" t="s">
        <v>394</v>
      </c>
      <c r="Y15" s="137">
        <v>180639</v>
      </c>
      <c r="AF15" s="77" t="s">
        <v>271</v>
      </c>
      <c r="AG15" s="77" t="s">
        <v>271</v>
      </c>
      <c r="AJ15" s="77" t="s">
        <v>273</v>
      </c>
      <c r="AK15" s="77" t="s">
        <v>273</v>
      </c>
      <c r="AL15" s="77" t="s">
        <v>395</v>
      </c>
      <c r="AM15" s="77" t="s">
        <v>395</v>
      </c>
      <c r="AR15" s="77" t="s">
        <v>272</v>
      </c>
    </row>
    <row r="16" spans="1:45">
      <c r="A16" s="77">
        <v>17</v>
      </c>
      <c r="B16" s="77">
        <v>1</v>
      </c>
      <c r="C16" s="77" t="s">
        <v>269</v>
      </c>
      <c r="D16" s="154">
        <v>45408</v>
      </c>
      <c r="E16" s="135">
        <v>2024042601301</v>
      </c>
      <c r="F16" s="137" t="s">
        <v>486</v>
      </c>
      <c r="G16" s="137" t="s">
        <v>487</v>
      </c>
      <c r="H16" s="137" t="s">
        <v>219</v>
      </c>
      <c r="I16" s="137" t="s">
        <v>222</v>
      </c>
      <c r="J16" s="153">
        <v>54000000</v>
      </c>
      <c r="K16" s="137">
        <v>-6.5000000000000002E-2</v>
      </c>
      <c r="L16" s="139">
        <v>1325.3333</v>
      </c>
      <c r="M16" s="139">
        <v>1323.1111000000001</v>
      </c>
      <c r="N16" s="138">
        <v>45387</v>
      </c>
      <c r="O16" s="138">
        <v>45419</v>
      </c>
      <c r="P16" s="137" t="s">
        <v>397</v>
      </c>
      <c r="Q16" s="77" t="s">
        <v>204</v>
      </c>
      <c r="R16" s="155">
        <v>200000</v>
      </c>
      <c r="S16" s="77" t="s">
        <v>204</v>
      </c>
      <c r="T16" s="155">
        <v>100000</v>
      </c>
      <c r="U16" s="77" t="s">
        <v>393</v>
      </c>
      <c r="V16" s="77" t="s">
        <v>394</v>
      </c>
      <c r="Y16" s="137">
        <v>180639</v>
      </c>
      <c r="AF16" s="77" t="s">
        <v>271</v>
      </c>
      <c r="AG16" s="77" t="s">
        <v>271</v>
      </c>
      <c r="AJ16" s="77" t="s">
        <v>273</v>
      </c>
      <c r="AK16" s="77" t="s">
        <v>273</v>
      </c>
      <c r="AL16" s="77" t="s">
        <v>395</v>
      </c>
      <c r="AM16" s="77" t="s">
        <v>395</v>
      </c>
      <c r="AR16" s="77" t="s">
        <v>272</v>
      </c>
    </row>
    <row r="17" spans="1:45">
      <c r="A17" s="77">
        <v>18</v>
      </c>
      <c r="B17" s="77">
        <v>1</v>
      </c>
      <c r="C17" s="77" t="s">
        <v>269</v>
      </c>
      <c r="D17" s="154">
        <v>45408</v>
      </c>
      <c r="E17" s="135">
        <v>2024042601401</v>
      </c>
      <c r="F17" s="137" t="s">
        <v>487</v>
      </c>
      <c r="G17" s="137" t="s">
        <v>486</v>
      </c>
      <c r="H17" s="137" t="s">
        <v>219</v>
      </c>
      <c r="I17" s="137" t="s">
        <v>222</v>
      </c>
      <c r="J17" s="153">
        <v>100000000</v>
      </c>
      <c r="K17" s="137">
        <v>-0.01</v>
      </c>
      <c r="L17" s="139">
        <v>1325.3333</v>
      </c>
      <c r="M17" s="139">
        <v>1323.1111000000001</v>
      </c>
      <c r="N17" s="138">
        <v>45387</v>
      </c>
      <c r="O17" s="138">
        <v>45419</v>
      </c>
      <c r="P17" s="137" t="s">
        <v>398</v>
      </c>
      <c r="Q17" s="77" t="s">
        <v>204</v>
      </c>
      <c r="R17" s="155">
        <v>200000</v>
      </c>
      <c r="S17" s="77" t="s">
        <v>204</v>
      </c>
      <c r="T17" s="155">
        <v>100000</v>
      </c>
      <c r="U17" s="77" t="s">
        <v>393</v>
      </c>
      <c r="V17" s="77" t="s">
        <v>394</v>
      </c>
      <c r="Y17" s="137">
        <v>180639</v>
      </c>
      <c r="AF17" s="77" t="s">
        <v>271</v>
      </c>
      <c r="AG17" s="77" t="s">
        <v>271</v>
      </c>
      <c r="AJ17" s="77" t="s">
        <v>273</v>
      </c>
      <c r="AK17" s="77" t="s">
        <v>273</v>
      </c>
      <c r="AL17" s="77" t="s">
        <v>395</v>
      </c>
      <c r="AM17" s="77" t="s">
        <v>395</v>
      </c>
      <c r="AR17" s="77" t="s">
        <v>272</v>
      </c>
    </row>
    <row r="18" spans="1:45">
      <c r="A18" s="77">
        <v>19</v>
      </c>
      <c r="B18" s="77">
        <v>1</v>
      </c>
      <c r="C18" s="77" t="s">
        <v>269</v>
      </c>
      <c r="D18" s="154">
        <v>45408</v>
      </c>
      <c r="E18" s="135">
        <v>2024042601501</v>
      </c>
      <c r="F18" s="137" t="s">
        <v>480</v>
      </c>
      <c r="G18" s="137" t="s">
        <v>475</v>
      </c>
      <c r="H18" s="137" t="s">
        <v>219</v>
      </c>
      <c r="I18" s="137" t="s">
        <v>222</v>
      </c>
      <c r="J18" s="153">
        <v>20000000000</v>
      </c>
      <c r="K18" s="137">
        <v>-0.05</v>
      </c>
      <c r="L18" s="139">
        <v>1325.3333</v>
      </c>
      <c r="M18" s="139">
        <v>1323.1111000000001</v>
      </c>
      <c r="N18" s="138">
        <v>45387</v>
      </c>
      <c r="O18" s="138">
        <v>45419</v>
      </c>
      <c r="P18" s="137" t="s">
        <v>399</v>
      </c>
      <c r="Q18" s="77" t="s">
        <v>204</v>
      </c>
      <c r="R18" s="155">
        <v>200000</v>
      </c>
      <c r="S18" s="77" t="s">
        <v>204</v>
      </c>
      <c r="T18" s="155">
        <v>100000</v>
      </c>
      <c r="U18" s="77" t="s">
        <v>393</v>
      </c>
      <c r="V18" s="77" t="s">
        <v>394</v>
      </c>
      <c r="Y18" s="137">
        <v>180639</v>
      </c>
      <c r="AF18" s="77" t="s">
        <v>271</v>
      </c>
      <c r="AG18" s="77" t="s">
        <v>271</v>
      </c>
      <c r="AJ18" s="77" t="s">
        <v>273</v>
      </c>
      <c r="AK18" s="77" t="s">
        <v>273</v>
      </c>
      <c r="AL18" s="77" t="s">
        <v>395</v>
      </c>
      <c r="AM18" s="77" t="s">
        <v>395</v>
      </c>
      <c r="AR18" s="77" t="s">
        <v>272</v>
      </c>
    </row>
    <row r="19" spans="1:45" s="78" customFormat="1">
      <c r="A19" s="78">
        <v>20</v>
      </c>
      <c r="B19" s="78">
        <v>1</v>
      </c>
      <c r="C19" s="78" t="s">
        <v>269</v>
      </c>
      <c r="D19" s="154">
        <v>45408</v>
      </c>
      <c r="E19" s="135">
        <v>2024042601161</v>
      </c>
      <c r="F19" s="137" t="s">
        <v>475</v>
      </c>
      <c r="G19" s="137" t="s">
        <v>480</v>
      </c>
      <c r="H19" s="137" t="s">
        <v>219</v>
      </c>
      <c r="I19" s="137" t="s">
        <v>222</v>
      </c>
      <c r="J19" s="153">
        <v>3000000000</v>
      </c>
      <c r="K19" s="137">
        <v>0.01</v>
      </c>
      <c r="L19" s="139">
        <v>1325.3333</v>
      </c>
      <c r="M19" s="139">
        <v>1323.1111000000001</v>
      </c>
      <c r="N19" s="138">
        <v>45387</v>
      </c>
      <c r="O19" s="138">
        <v>45419</v>
      </c>
      <c r="P19" s="137" t="s">
        <v>400</v>
      </c>
      <c r="Q19" s="78" t="s">
        <v>204</v>
      </c>
      <c r="R19" s="155">
        <v>200000</v>
      </c>
      <c r="S19" s="78" t="s">
        <v>204</v>
      </c>
      <c r="T19" s="155">
        <v>100000</v>
      </c>
      <c r="U19" s="78" t="s">
        <v>393</v>
      </c>
      <c r="V19" s="78" t="s">
        <v>394</v>
      </c>
      <c r="Y19" s="137">
        <v>180639</v>
      </c>
      <c r="AF19" s="78" t="s">
        <v>271</v>
      </c>
      <c r="AG19" s="78" t="s">
        <v>271</v>
      </c>
      <c r="AJ19" s="78" t="s">
        <v>273</v>
      </c>
      <c r="AK19" s="78" t="s">
        <v>273</v>
      </c>
      <c r="AL19" s="78" t="s">
        <v>395</v>
      </c>
      <c r="AM19" s="78" t="s">
        <v>395</v>
      </c>
      <c r="AR19" s="78" t="s">
        <v>272</v>
      </c>
    </row>
    <row r="20" spans="1:45">
      <c r="A20" s="77">
        <v>31</v>
      </c>
      <c r="B20" s="77">
        <v>1</v>
      </c>
      <c r="C20" s="77" t="s">
        <v>269</v>
      </c>
      <c r="D20" s="154">
        <v>45408</v>
      </c>
      <c r="E20" s="135">
        <v>2024042600104</v>
      </c>
      <c r="F20" s="137" t="s">
        <v>477</v>
      </c>
      <c r="G20" s="137" t="s">
        <v>485</v>
      </c>
      <c r="H20" s="137" t="s">
        <v>216</v>
      </c>
      <c r="I20" s="137" t="s">
        <v>221</v>
      </c>
      <c r="J20" s="153">
        <v>50000000</v>
      </c>
      <c r="K20" s="137">
        <v>0</v>
      </c>
      <c r="L20" s="137">
        <v>0</v>
      </c>
      <c r="M20" s="139">
        <v>1356.2</v>
      </c>
      <c r="O20" s="138">
        <v>45488</v>
      </c>
      <c r="P20" s="137" t="s">
        <v>208</v>
      </c>
      <c r="Q20" s="77" t="s">
        <v>204</v>
      </c>
      <c r="R20" s="155">
        <v>400000</v>
      </c>
      <c r="S20" s="77" t="s">
        <v>204</v>
      </c>
      <c r="T20" s="155">
        <v>846500</v>
      </c>
      <c r="U20" s="77" t="s">
        <v>386</v>
      </c>
      <c r="V20" s="77" t="s">
        <v>385</v>
      </c>
      <c r="Y20" s="137">
        <v>103646</v>
      </c>
      <c r="AB20" s="154">
        <v>45485</v>
      </c>
      <c r="AC20" s="154">
        <v>45484</v>
      </c>
      <c r="AF20" s="77" t="s">
        <v>271</v>
      </c>
      <c r="AG20" s="77" t="s">
        <v>271</v>
      </c>
      <c r="AJ20" s="77" t="s">
        <v>273</v>
      </c>
      <c r="AK20" s="77" t="s">
        <v>273</v>
      </c>
      <c r="AR20" s="77" t="s">
        <v>272</v>
      </c>
    </row>
    <row r="21" spans="1:45" s="78" customFormat="1">
      <c r="A21" s="78">
        <v>34</v>
      </c>
      <c r="B21" s="78">
        <v>1</v>
      </c>
      <c r="C21" s="78" t="s">
        <v>269</v>
      </c>
      <c r="D21" s="154">
        <v>45408</v>
      </c>
      <c r="E21" s="135">
        <v>2024042600106</v>
      </c>
      <c r="F21" s="137" t="s">
        <v>486</v>
      </c>
      <c r="G21" s="137" t="s">
        <v>473</v>
      </c>
      <c r="H21" s="137" t="s">
        <v>275</v>
      </c>
      <c r="I21" s="137" t="s">
        <v>222</v>
      </c>
      <c r="J21" s="153">
        <v>111222333.4444</v>
      </c>
      <c r="K21" s="137">
        <v>27.432099999999998</v>
      </c>
      <c r="L21" s="137">
        <v>0</v>
      </c>
      <c r="M21" s="139">
        <v>1328.3208999999999</v>
      </c>
      <c r="N21" s="137"/>
      <c r="O21" s="138">
        <v>45429</v>
      </c>
      <c r="P21" s="137" t="s">
        <v>208</v>
      </c>
      <c r="Q21" s="78" t="s">
        <v>204</v>
      </c>
      <c r="R21" s="155">
        <v>778540</v>
      </c>
      <c r="S21" s="78" t="s">
        <v>204</v>
      </c>
      <c r="T21" s="155">
        <v>1334640</v>
      </c>
      <c r="U21" s="78" t="s">
        <v>387</v>
      </c>
      <c r="V21" s="78" t="s">
        <v>388</v>
      </c>
      <c r="Y21" s="137">
        <v>152146</v>
      </c>
      <c r="AB21" s="154">
        <v>45428</v>
      </c>
      <c r="AC21" s="154">
        <v>45426</v>
      </c>
      <c r="AF21" s="78" t="s">
        <v>271</v>
      </c>
      <c r="AG21" s="78" t="s">
        <v>271</v>
      </c>
      <c r="AJ21" s="78" t="s">
        <v>273</v>
      </c>
      <c r="AK21" s="78" t="s">
        <v>273</v>
      </c>
      <c r="AR21" s="78" t="s">
        <v>272</v>
      </c>
    </row>
    <row r="22" spans="1:45">
      <c r="A22" s="77">
        <v>35</v>
      </c>
      <c r="B22" s="77">
        <v>1</v>
      </c>
      <c r="C22" s="77" t="s">
        <v>269</v>
      </c>
      <c r="D22" s="154">
        <v>45408</v>
      </c>
      <c r="E22" s="135">
        <v>2024042600102</v>
      </c>
      <c r="F22" s="137" t="s">
        <v>295</v>
      </c>
      <c r="G22" s="137" t="s">
        <v>474</v>
      </c>
      <c r="H22" s="137" t="s">
        <v>218</v>
      </c>
      <c r="I22" s="137" t="s">
        <v>403</v>
      </c>
      <c r="J22" s="153">
        <v>100000000.55</v>
      </c>
      <c r="K22" s="137">
        <v>-0.1111</v>
      </c>
      <c r="L22" s="139">
        <v>1312.5554999999999</v>
      </c>
      <c r="M22" s="139">
        <v>1312.4444000000001</v>
      </c>
      <c r="N22" s="138">
        <v>45419</v>
      </c>
      <c r="O22" s="138">
        <v>45509</v>
      </c>
      <c r="P22" s="137" t="s">
        <v>208</v>
      </c>
      <c r="Q22" s="77" t="s">
        <v>204</v>
      </c>
      <c r="R22" s="155">
        <v>800000</v>
      </c>
      <c r="S22" s="77" t="s">
        <v>204</v>
      </c>
      <c r="T22" s="155">
        <v>1200000</v>
      </c>
      <c r="U22" s="77" t="s">
        <v>387</v>
      </c>
      <c r="V22" s="77" t="s">
        <v>388</v>
      </c>
      <c r="Y22" s="137">
        <v>145455</v>
      </c>
      <c r="Z22" s="154">
        <v>45415</v>
      </c>
      <c r="AA22" s="154">
        <v>45414</v>
      </c>
      <c r="AB22" s="154">
        <v>45506</v>
      </c>
      <c r="AC22" s="154">
        <v>45505</v>
      </c>
      <c r="AF22" s="77" t="s">
        <v>271</v>
      </c>
      <c r="AG22" s="77" t="s">
        <v>271</v>
      </c>
      <c r="AJ22" s="77" t="s">
        <v>273</v>
      </c>
      <c r="AK22" s="77" t="s">
        <v>273</v>
      </c>
      <c r="AR22" s="77" t="s">
        <v>272</v>
      </c>
    </row>
    <row r="23" spans="1:45" s="78" customFormat="1">
      <c r="A23" s="78">
        <v>37</v>
      </c>
      <c r="B23" s="78">
        <v>1</v>
      </c>
      <c r="C23" s="78" t="s">
        <v>269</v>
      </c>
      <c r="D23" s="154">
        <v>45408</v>
      </c>
      <c r="E23" s="135">
        <v>2024042600103</v>
      </c>
      <c r="F23" s="137" t="s">
        <v>474</v>
      </c>
      <c r="G23" s="137" t="s">
        <v>295</v>
      </c>
      <c r="H23" s="137" t="s">
        <v>214</v>
      </c>
      <c r="I23" s="137" t="s">
        <v>213</v>
      </c>
      <c r="J23" s="153">
        <v>1250000.22</v>
      </c>
      <c r="K23" s="137">
        <v>-0.125</v>
      </c>
      <c r="L23" s="139">
        <v>1352.9</v>
      </c>
      <c r="M23" s="139">
        <v>1352.7750000000001</v>
      </c>
      <c r="N23" s="137"/>
      <c r="O23" s="138">
        <v>45387</v>
      </c>
      <c r="P23" s="137" t="s">
        <v>208</v>
      </c>
      <c r="Q23" s="78" t="s">
        <v>204</v>
      </c>
      <c r="R23" s="155">
        <v>7500</v>
      </c>
      <c r="S23" s="78" t="s">
        <v>204</v>
      </c>
      <c r="T23" s="155">
        <v>3750</v>
      </c>
      <c r="U23" s="78" t="s">
        <v>388</v>
      </c>
      <c r="V23" s="78" t="s">
        <v>387</v>
      </c>
      <c r="Y23" s="137">
        <v>145610</v>
      </c>
      <c r="AF23" s="78" t="s">
        <v>271</v>
      </c>
      <c r="AG23" s="78" t="s">
        <v>271</v>
      </c>
      <c r="AJ23" s="78" t="s">
        <v>273</v>
      </c>
      <c r="AK23" s="78" t="s">
        <v>273</v>
      </c>
      <c r="AR23" s="78" t="s">
        <v>272</v>
      </c>
    </row>
    <row r="24" spans="1:45">
      <c r="A24" s="77">
        <v>39</v>
      </c>
      <c r="B24" s="77">
        <v>1</v>
      </c>
      <c r="C24" s="77" t="s">
        <v>269</v>
      </c>
      <c r="D24" s="154">
        <v>45408</v>
      </c>
      <c r="E24" s="135">
        <v>2024042600303</v>
      </c>
      <c r="F24" s="137" t="s">
        <v>482</v>
      </c>
      <c r="G24" s="137" t="s">
        <v>480</v>
      </c>
      <c r="H24" s="137" t="s">
        <v>214</v>
      </c>
      <c r="I24" s="137" t="s">
        <v>213</v>
      </c>
      <c r="J24" s="153">
        <v>50000000</v>
      </c>
      <c r="K24" s="137">
        <v>0</v>
      </c>
      <c r="L24" s="139">
        <v>1363.7</v>
      </c>
      <c r="M24" s="139">
        <v>1363.7</v>
      </c>
      <c r="N24" s="138"/>
      <c r="O24" s="138">
        <v>45393</v>
      </c>
      <c r="P24" s="137" t="s">
        <v>208</v>
      </c>
      <c r="Q24" s="77" t="s">
        <v>204</v>
      </c>
      <c r="R24" s="155">
        <v>300000</v>
      </c>
      <c r="S24" s="77" t="s">
        <v>204</v>
      </c>
      <c r="T24" s="155">
        <v>300000</v>
      </c>
      <c r="U24" s="77" t="s">
        <v>401</v>
      </c>
      <c r="V24" s="77" t="s">
        <v>215</v>
      </c>
      <c r="Y24" s="137">
        <v>171509</v>
      </c>
      <c r="AF24" s="77" t="s">
        <v>271</v>
      </c>
      <c r="AG24" s="77" t="s">
        <v>271</v>
      </c>
      <c r="AJ24" s="77" t="s">
        <v>273</v>
      </c>
      <c r="AK24" s="77" t="s">
        <v>273</v>
      </c>
      <c r="AN24" s="77" t="s">
        <v>406</v>
      </c>
      <c r="AO24" s="157">
        <v>0.71884259259259264</v>
      </c>
      <c r="AP24" s="77" t="s">
        <v>406</v>
      </c>
      <c r="AQ24" s="157">
        <v>0.71885416666666668</v>
      </c>
      <c r="AR24" s="77" t="s">
        <v>405</v>
      </c>
      <c r="AS24" s="158">
        <v>45413</v>
      </c>
    </row>
    <row r="25" spans="1:45">
      <c r="A25" s="77">
        <v>40</v>
      </c>
      <c r="B25" s="77">
        <v>1</v>
      </c>
      <c r="C25" s="77" t="s">
        <v>269</v>
      </c>
      <c r="D25" s="154">
        <v>45408</v>
      </c>
      <c r="E25" s="135">
        <v>2024042601103</v>
      </c>
      <c r="F25" s="137" t="s">
        <v>480</v>
      </c>
      <c r="G25" s="137" t="s">
        <v>482</v>
      </c>
      <c r="H25" s="137" t="s">
        <v>214</v>
      </c>
      <c r="I25" s="137" t="s">
        <v>213</v>
      </c>
      <c r="J25" s="153">
        <v>5000000</v>
      </c>
      <c r="K25" s="137">
        <v>0.05</v>
      </c>
      <c r="L25" s="139">
        <v>1363.7</v>
      </c>
      <c r="M25" s="139">
        <v>1363.75</v>
      </c>
      <c r="O25" s="138">
        <v>45397</v>
      </c>
      <c r="P25" s="137" t="s">
        <v>208</v>
      </c>
      <c r="Q25" s="77" t="s">
        <v>204</v>
      </c>
      <c r="R25" s="155">
        <v>30000</v>
      </c>
      <c r="S25" s="77" t="s">
        <v>204</v>
      </c>
      <c r="T25" s="155">
        <v>30000</v>
      </c>
      <c r="U25" s="77" t="s">
        <v>407</v>
      </c>
      <c r="V25" s="77" t="s">
        <v>404</v>
      </c>
      <c r="Y25" s="137">
        <v>104023</v>
      </c>
      <c r="AF25" s="77" t="s">
        <v>271</v>
      </c>
      <c r="AG25" s="77" t="s">
        <v>271</v>
      </c>
      <c r="AJ25" s="77" t="s">
        <v>273</v>
      </c>
      <c r="AK25" s="77" t="s">
        <v>273</v>
      </c>
      <c r="AR25" s="77" t="s">
        <v>272</v>
      </c>
    </row>
    <row r="26" spans="1:45">
      <c r="D26" s="154"/>
      <c r="L26" s="139"/>
      <c r="M26" s="139"/>
      <c r="O26" s="138"/>
      <c r="R26" s="155"/>
      <c r="T26" s="155"/>
    </row>
    <row r="28" spans="1:45">
      <c r="N28" s="159"/>
      <c r="O28" s="159"/>
    </row>
    <row r="29" spans="1:45">
      <c r="N29" s="159"/>
      <c r="O29" s="159"/>
    </row>
    <row r="30" spans="1:45">
      <c r="N30" s="159"/>
      <c r="O30" s="159"/>
    </row>
    <row r="31" spans="1:45">
      <c r="N31" s="159"/>
      <c r="O31" s="159"/>
    </row>
    <row r="32" spans="1:45">
      <c r="N32" s="159"/>
      <c r="O32" s="159"/>
    </row>
    <row r="33" spans="14:15">
      <c r="N33" s="159"/>
      <c r="O33" s="159"/>
    </row>
    <row r="34" spans="14:15">
      <c r="N34" s="159"/>
      <c r="O34" s="159"/>
    </row>
    <row r="35" spans="14:15">
      <c r="N35" s="159"/>
      <c r="O35" s="159"/>
    </row>
    <row r="36" spans="14:15">
      <c r="N36" s="159"/>
      <c r="O36" s="159"/>
    </row>
    <row r="37" spans="14:15">
      <c r="N37" s="159"/>
      <c r="O37" s="159"/>
    </row>
    <row r="38" spans="14:15">
      <c r="N38" s="159"/>
      <c r="O38" s="159"/>
    </row>
    <row r="39" spans="14:15">
      <c r="N39" s="159"/>
      <c r="O39" s="159"/>
    </row>
    <row r="40" spans="14:15">
      <c r="N40" s="159"/>
      <c r="O40" s="159"/>
    </row>
    <row r="41" spans="14:15">
      <c r="N41" s="159"/>
      <c r="O41" s="159"/>
    </row>
    <row r="42" spans="14:15">
      <c r="N42" s="159"/>
      <c r="O42" s="159"/>
    </row>
    <row r="43" spans="14:15">
      <c r="N43" s="159"/>
      <c r="O43" s="159"/>
    </row>
    <row r="44" spans="14:15">
      <c r="N44" s="159"/>
      <c r="O44" s="159"/>
    </row>
    <row r="45" spans="14:15">
      <c r="N45" s="159"/>
      <c r="O45" s="159"/>
    </row>
    <row r="46" spans="14:15">
      <c r="N46" s="159"/>
      <c r="O46" s="159"/>
    </row>
    <row r="47" spans="14:15">
      <c r="N47" s="159"/>
      <c r="O47" s="159"/>
    </row>
    <row r="48" spans="14:15">
      <c r="N48" s="159"/>
      <c r="O48" s="159"/>
    </row>
    <row r="49" spans="14:15">
      <c r="N49" s="159"/>
      <c r="O49" s="159"/>
    </row>
    <row r="50" spans="14:15">
      <c r="N50" s="159"/>
      <c r="O50" s="159"/>
    </row>
    <row r="51" spans="14:15">
      <c r="N51" s="159"/>
      <c r="O51" s="159"/>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AK10"/>
  <sheetViews>
    <sheetView workbookViewId="0"/>
  </sheetViews>
  <sheetFormatPr defaultRowHeight="13.5"/>
  <cols>
    <col min="1" max="1" width="8" style="130" customWidth="1"/>
    <col min="2" max="2" width="4.5" style="130" bestFit="1" customWidth="1"/>
    <col min="3" max="3" width="6.875" style="130" customWidth="1"/>
    <col min="4" max="4" width="13.875" style="130" bestFit="1" customWidth="1"/>
    <col min="5" max="5" width="13.875" style="172" bestFit="1" customWidth="1"/>
    <col min="6" max="6" width="9" style="173"/>
    <col min="7" max="7" width="10.875" style="173" customWidth="1"/>
    <col min="8" max="8" width="9" style="173"/>
    <col min="9" max="9" width="9" style="130"/>
    <col min="10" max="10" width="9" style="173"/>
    <col min="11" max="11" width="12.5" style="173" bestFit="1" customWidth="1"/>
    <col min="12" max="12" width="9.125" style="173" bestFit="1" customWidth="1"/>
    <col min="13" max="14" width="9.75" style="173" bestFit="1" customWidth="1"/>
    <col min="15" max="15" width="9" style="130" customWidth="1"/>
    <col min="16" max="16" width="9.125" style="130" customWidth="1"/>
    <col min="17" max="17" width="9" style="130" customWidth="1"/>
    <col min="18" max="18" width="9.125" style="130" customWidth="1"/>
    <col min="19" max="22" width="9" style="130" customWidth="1"/>
    <col min="23" max="23" width="9.125" style="173" customWidth="1"/>
    <col min="24" max="26" width="9" style="130" customWidth="1"/>
    <col min="27" max="27" width="9.125" style="173" customWidth="1"/>
    <col min="28" max="32" width="9" style="130" customWidth="1"/>
    <col min="33" max="33" width="14.875" style="130" customWidth="1"/>
    <col min="34" max="34" width="9.125" style="130" customWidth="1"/>
    <col min="35" max="35" width="9" style="173"/>
    <col min="36" max="16384" width="9" style="130"/>
  </cols>
  <sheetData>
    <row r="1" spans="1:37">
      <c r="A1" s="130" t="s">
        <v>227</v>
      </c>
      <c r="B1" s="130" t="s">
        <v>228</v>
      </c>
      <c r="C1" s="130" t="s">
        <v>229</v>
      </c>
      <c r="D1" s="130" t="s">
        <v>230</v>
      </c>
      <c r="E1" s="172" t="s">
        <v>231</v>
      </c>
      <c r="F1" s="173" t="s">
        <v>276</v>
      </c>
      <c r="G1" s="173" t="s">
        <v>277</v>
      </c>
      <c r="H1" s="173" t="s">
        <v>234</v>
      </c>
      <c r="I1" s="133" t="s">
        <v>235</v>
      </c>
      <c r="J1" s="173" t="s">
        <v>239</v>
      </c>
      <c r="K1" s="173" t="s">
        <v>236</v>
      </c>
      <c r="L1" s="173" t="s">
        <v>278</v>
      </c>
      <c r="M1" s="173" t="s">
        <v>408</v>
      </c>
      <c r="N1" s="173" t="s">
        <v>409</v>
      </c>
      <c r="O1" s="130" t="s">
        <v>279</v>
      </c>
      <c r="P1" s="130" t="s">
        <v>280</v>
      </c>
      <c r="Q1" s="130" t="s">
        <v>281</v>
      </c>
      <c r="R1" s="130" t="s">
        <v>282</v>
      </c>
      <c r="S1" s="130" t="s">
        <v>283</v>
      </c>
      <c r="T1" s="130" t="s">
        <v>284</v>
      </c>
      <c r="U1" s="130" t="s">
        <v>285</v>
      </c>
      <c r="V1" s="130" t="s">
        <v>286</v>
      </c>
      <c r="W1" s="173" t="s">
        <v>410</v>
      </c>
      <c r="X1" s="130" t="s">
        <v>287</v>
      </c>
      <c r="Y1" s="130" t="s">
        <v>288</v>
      </c>
      <c r="Z1" s="130" t="s">
        <v>289</v>
      </c>
      <c r="AA1" s="173" t="s">
        <v>248</v>
      </c>
      <c r="AB1" s="130" t="s">
        <v>290</v>
      </c>
      <c r="AC1" s="130" t="s">
        <v>291</v>
      </c>
      <c r="AD1" s="130" t="s">
        <v>261</v>
      </c>
      <c r="AE1" s="130" t="s">
        <v>262</v>
      </c>
      <c r="AF1" s="130" t="s">
        <v>253</v>
      </c>
      <c r="AG1" s="130" t="s">
        <v>254</v>
      </c>
      <c r="AH1" s="130" t="s">
        <v>292</v>
      </c>
      <c r="AI1" s="173" t="s">
        <v>411</v>
      </c>
      <c r="AJ1" s="130" t="s">
        <v>293</v>
      </c>
      <c r="AK1" s="130" t="s">
        <v>294</v>
      </c>
    </row>
    <row r="2" spans="1:37">
      <c r="A2" s="130">
        <v>1</v>
      </c>
      <c r="B2" s="130">
        <v>1</v>
      </c>
      <c r="C2" s="130" t="s">
        <v>269</v>
      </c>
      <c r="D2" s="132">
        <v>45408</v>
      </c>
      <c r="E2" s="172">
        <v>2024042500133</v>
      </c>
      <c r="F2" s="173" t="s">
        <v>474</v>
      </c>
      <c r="G2" s="173" t="s">
        <v>475</v>
      </c>
      <c r="H2" s="166" t="s">
        <v>209</v>
      </c>
      <c r="I2" s="133" t="s">
        <v>412</v>
      </c>
      <c r="J2" s="166" t="s">
        <v>208</v>
      </c>
      <c r="K2" s="174">
        <v>23000000</v>
      </c>
      <c r="L2" s="166">
        <v>2.8852500000000001</v>
      </c>
      <c r="M2" s="175">
        <v>45411</v>
      </c>
      <c r="N2" s="175">
        <v>50889</v>
      </c>
      <c r="O2" s="130" t="s">
        <v>204</v>
      </c>
      <c r="P2" s="134">
        <v>394190</v>
      </c>
      <c r="Q2" s="130" t="s">
        <v>204</v>
      </c>
      <c r="R2" s="134">
        <v>315360</v>
      </c>
      <c r="S2" s="130" t="s">
        <v>413</v>
      </c>
      <c r="T2" s="130" t="s">
        <v>414</v>
      </c>
      <c r="U2" s="130" t="s">
        <v>415</v>
      </c>
      <c r="W2" s="176">
        <v>1301.02</v>
      </c>
      <c r="AA2" s="166">
        <v>124425</v>
      </c>
      <c r="AH2" s="133">
        <v>3</v>
      </c>
      <c r="AI2" s="166" t="s">
        <v>210</v>
      </c>
    </row>
    <row r="3" spans="1:37">
      <c r="A3" s="130">
        <v>1</v>
      </c>
      <c r="B3" s="130">
        <v>1</v>
      </c>
      <c r="C3" s="130" t="s">
        <v>269</v>
      </c>
      <c r="D3" s="132">
        <v>45408</v>
      </c>
      <c r="E3" s="172">
        <v>2024042500155</v>
      </c>
      <c r="F3" s="173" t="s">
        <v>475</v>
      </c>
      <c r="G3" s="173" t="s">
        <v>474</v>
      </c>
      <c r="H3" s="166" t="s">
        <v>419</v>
      </c>
      <c r="I3" s="133"/>
      <c r="J3" s="166" t="s">
        <v>204</v>
      </c>
      <c r="K3" s="174">
        <v>20000000000</v>
      </c>
      <c r="L3" s="166">
        <v>3.05</v>
      </c>
      <c r="M3" s="175">
        <v>45407</v>
      </c>
      <c r="N3" s="175">
        <v>46503</v>
      </c>
      <c r="O3" s="130" t="s">
        <v>204</v>
      </c>
      <c r="P3" s="130">
        <v>0</v>
      </c>
      <c r="Q3" s="130" t="s">
        <v>203</v>
      </c>
      <c r="R3" s="130">
        <v>0</v>
      </c>
      <c r="S3" s="130" t="s">
        <v>417</v>
      </c>
      <c r="T3" s="130" t="s">
        <v>416</v>
      </c>
      <c r="W3" s="166">
        <v>0</v>
      </c>
      <c r="AA3" s="166">
        <v>131700</v>
      </c>
      <c r="AH3" s="133">
        <v>3</v>
      </c>
      <c r="AI3" s="166" t="s">
        <v>212</v>
      </c>
    </row>
    <row r="4" spans="1:37">
      <c r="A4" s="130">
        <v>1</v>
      </c>
      <c r="B4" s="130">
        <v>3</v>
      </c>
      <c r="C4" s="130" t="s">
        <v>269</v>
      </c>
      <c r="D4" s="132">
        <v>45408</v>
      </c>
      <c r="E4" s="172">
        <v>2024042500111</v>
      </c>
      <c r="F4" s="173" t="s">
        <v>480</v>
      </c>
      <c r="G4" s="173" t="s">
        <v>473</v>
      </c>
      <c r="H4" s="166" t="s">
        <v>211</v>
      </c>
      <c r="I4" s="133" t="s">
        <v>296</v>
      </c>
      <c r="J4" s="166" t="s">
        <v>204</v>
      </c>
      <c r="K4" s="174">
        <v>50000000000</v>
      </c>
      <c r="L4" s="166">
        <v>3.53</v>
      </c>
      <c r="M4" s="175">
        <v>45408</v>
      </c>
      <c r="N4" s="175">
        <v>46503</v>
      </c>
      <c r="O4" s="130" t="s">
        <v>204</v>
      </c>
      <c r="P4" s="134">
        <v>396868</v>
      </c>
      <c r="Q4" s="130" t="s">
        <v>204</v>
      </c>
      <c r="R4" s="134">
        <v>850431</v>
      </c>
      <c r="S4" s="130" t="s">
        <v>420</v>
      </c>
      <c r="T4" s="130" t="s">
        <v>417</v>
      </c>
      <c r="W4" s="166">
        <v>0</v>
      </c>
      <c r="AA4" s="166">
        <v>92744</v>
      </c>
      <c r="AD4" s="130" t="s">
        <v>421</v>
      </c>
      <c r="AE4" s="130" t="s">
        <v>421</v>
      </c>
      <c r="AF4" s="130" t="s">
        <v>422</v>
      </c>
      <c r="AG4" s="131">
        <v>20240425082626</v>
      </c>
      <c r="AH4" s="133">
        <v>3</v>
      </c>
      <c r="AI4" s="166" t="s">
        <v>212</v>
      </c>
    </row>
    <row r="5" spans="1:37">
      <c r="A5" s="130">
        <v>2</v>
      </c>
      <c r="B5" s="130">
        <v>3</v>
      </c>
      <c r="C5" s="130" t="s">
        <v>269</v>
      </c>
      <c r="D5" s="132">
        <v>45408</v>
      </c>
      <c r="E5" s="172">
        <v>2024042501211</v>
      </c>
      <c r="F5" s="173" t="s">
        <v>473</v>
      </c>
      <c r="G5" s="173" t="s">
        <v>480</v>
      </c>
      <c r="H5" s="166" t="s">
        <v>211</v>
      </c>
      <c r="I5" s="133" t="s">
        <v>296</v>
      </c>
      <c r="J5" s="166" t="s">
        <v>476</v>
      </c>
      <c r="K5" s="174">
        <v>20000000</v>
      </c>
      <c r="L5" s="166">
        <v>3.53</v>
      </c>
      <c r="M5" s="175">
        <v>45408</v>
      </c>
      <c r="N5" s="175">
        <v>46503</v>
      </c>
      <c r="O5" s="130" t="s">
        <v>204</v>
      </c>
      <c r="P5" s="134">
        <v>396868</v>
      </c>
      <c r="Q5" s="130" t="s">
        <v>204</v>
      </c>
      <c r="R5" s="134">
        <v>850431</v>
      </c>
      <c r="S5" s="130" t="s">
        <v>420</v>
      </c>
      <c r="T5" s="130" t="s">
        <v>417</v>
      </c>
      <c r="W5" s="166">
        <v>0</v>
      </c>
      <c r="AA5" s="166">
        <v>92708</v>
      </c>
      <c r="AD5" s="130" t="s">
        <v>421</v>
      </c>
      <c r="AE5" s="130" t="s">
        <v>421</v>
      </c>
      <c r="AF5" s="130" t="s">
        <v>422</v>
      </c>
      <c r="AG5" s="131">
        <v>20240425082626</v>
      </c>
      <c r="AH5" s="133">
        <v>3</v>
      </c>
      <c r="AI5" s="166" t="s">
        <v>455</v>
      </c>
    </row>
    <row r="6" spans="1:37">
      <c r="A6" s="130">
        <v>1</v>
      </c>
      <c r="B6" s="130">
        <v>1</v>
      </c>
      <c r="C6" s="130" t="s">
        <v>269</v>
      </c>
      <c r="D6" s="132">
        <v>45408</v>
      </c>
      <c r="E6" s="172">
        <v>2024042500144</v>
      </c>
      <c r="F6" s="173" t="s">
        <v>481</v>
      </c>
      <c r="G6" s="173" t="s">
        <v>479</v>
      </c>
      <c r="H6" s="166" t="s">
        <v>424</v>
      </c>
      <c r="I6" s="133" t="s">
        <v>296</v>
      </c>
      <c r="J6" s="166" t="s">
        <v>208</v>
      </c>
      <c r="K6" s="174">
        <v>10000000</v>
      </c>
      <c r="L6" s="166">
        <v>2.78</v>
      </c>
      <c r="M6" s="175">
        <v>45411</v>
      </c>
      <c r="N6" s="175">
        <v>46506</v>
      </c>
      <c r="O6" s="130" t="s">
        <v>203</v>
      </c>
      <c r="P6" s="130">
        <v>286.87</v>
      </c>
      <c r="Q6" s="130" t="s">
        <v>204</v>
      </c>
      <c r="R6" s="134">
        <v>589524</v>
      </c>
      <c r="S6" s="130" t="s">
        <v>416</v>
      </c>
      <c r="T6" s="130" t="s">
        <v>417</v>
      </c>
      <c r="W6" s="176">
        <v>1387</v>
      </c>
      <c r="AA6" s="166">
        <v>122211</v>
      </c>
      <c r="AH6" s="133">
        <v>3</v>
      </c>
      <c r="AI6" s="166" t="s">
        <v>210</v>
      </c>
    </row>
    <row r="7" spans="1:37" s="133" customFormat="1">
      <c r="A7" s="133">
        <v>1</v>
      </c>
      <c r="B7" s="133">
        <v>1</v>
      </c>
      <c r="C7" s="133" t="s">
        <v>269</v>
      </c>
      <c r="D7" s="132">
        <v>45408</v>
      </c>
      <c r="E7" s="172">
        <v>2024042500266</v>
      </c>
      <c r="F7" s="166" t="s">
        <v>479</v>
      </c>
      <c r="G7" s="166" t="s">
        <v>482</v>
      </c>
      <c r="H7" s="166" t="s">
        <v>425</v>
      </c>
      <c r="J7" s="166" t="s">
        <v>476</v>
      </c>
      <c r="K7" s="174">
        <v>50000000</v>
      </c>
      <c r="L7" s="166">
        <v>3.05</v>
      </c>
      <c r="M7" s="175">
        <v>45407</v>
      </c>
      <c r="N7" s="175">
        <v>46503</v>
      </c>
      <c r="O7" s="133" t="s">
        <v>204</v>
      </c>
      <c r="P7" s="133">
        <v>0</v>
      </c>
      <c r="Q7" s="133" t="s">
        <v>203</v>
      </c>
      <c r="R7" s="133">
        <v>0</v>
      </c>
      <c r="S7" s="133" t="s">
        <v>417</v>
      </c>
      <c r="T7" s="133" t="s">
        <v>416</v>
      </c>
      <c r="W7" s="166">
        <v>0</v>
      </c>
      <c r="AA7" s="166">
        <v>133003</v>
      </c>
      <c r="AH7" s="133">
        <v>3</v>
      </c>
      <c r="AI7" s="166" t="s">
        <v>455</v>
      </c>
    </row>
    <row r="8" spans="1:37">
      <c r="A8" s="130">
        <v>1</v>
      </c>
      <c r="B8" s="130">
        <v>1</v>
      </c>
      <c r="C8" s="130" t="s">
        <v>269</v>
      </c>
      <c r="D8" s="132">
        <v>45408</v>
      </c>
      <c r="E8" s="172">
        <v>2024042500422</v>
      </c>
      <c r="F8" s="173" t="s">
        <v>483</v>
      </c>
      <c r="G8" s="173" t="s">
        <v>485</v>
      </c>
      <c r="H8" s="166" t="s">
        <v>426</v>
      </c>
      <c r="I8" s="133" t="s">
        <v>423</v>
      </c>
      <c r="J8" s="166" t="s">
        <v>204</v>
      </c>
      <c r="K8" s="174">
        <v>15000000000</v>
      </c>
      <c r="L8" s="166">
        <v>2.9874999999999998</v>
      </c>
      <c r="M8" s="175">
        <v>45408</v>
      </c>
      <c r="N8" s="175">
        <v>49793</v>
      </c>
      <c r="O8" s="130" t="s">
        <v>204</v>
      </c>
      <c r="P8" s="134">
        <v>117172</v>
      </c>
      <c r="Q8" s="130" t="s">
        <v>204</v>
      </c>
      <c r="R8" s="134">
        <v>62491</v>
      </c>
      <c r="S8" s="130" t="s">
        <v>402</v>
      </c>
      <c r="T8" s="130" t="s">
        <v>414</v>
      </c>
      <c r="V8" s="130" t="s">
        <v>415</v>
      </c>
      <c r="W8" s="166">
        <v>0</v>
      </c>
      <c r="AA8" s="166">
        <v>125502</v>
      </c>
      <c r="AD8" s="130" t="s">
        <v>297</v>
      </c>
      <c r="AE8" s="130" t="s">
        <v>297</v>
      </c>
      <c r="AH8" s="133">
        <v>3</v>
      </c>
      <c r="AI8" s="166" t="s">
        <v>212</v>
      </c>
    </row>
    <row r="9" spans="1:37">
      <c r="A9" s="130">
        <v>1</v>
      </c>
      <c r="B9" s="130">
        <v>1</v>
      </c>
      <c r="C9" s="130" t="s">
        <v>269</v>
      </c>
      <c r="D9" s="132">
        <v>45408</v>
      </c>
      <c r="E9" s="172">
        <v>2024042500177</v>
      </c>
      <c r="F9" s="173" t="s">
        <v>486</v>
      </c>
      <c r="G9" s="173" t="s">
        <v>484</v>
      </c>
      <c r="H9" s="166" t="s">
        <v>478</v>
      </c>
      <c r="I9" s="133"/>
      <c r="J9" s="166" t="s">
        <v>204</v>
      </c>
      <c r="K9" s="174">
        <v>20000000000</v>
      </c>
      <c r="L9" s="166">
        <v>2.9</v>
      </c>
      <c r="M9" s="175">
        <v>45408</v>
      </c>
      <c r="N9" s="175">
        <v>46503</v>
      </c>
      <c r="O9" s="130" t="s">
        <v>203</v>
      </c>
      <c r="P9" s="130">
        <v>414.03</v>
      </c>
      <c r="Q9" s="130" t="s">
        <v>204</v>
      </c>
      <c r="R9" s="134">
        <v>850835</v>
      </c>
      <c r="S9" s="130" t="s">
        <v>416</v>
      </c>
      <c r="T9" s="130" t="s">
        <v>417</v>
      </c>
      <c r="W9" s="166">
        <v>0</v>
      </c>
      <c r="AA9" s="166">
        <v>105001</v>
      </c>
      <c r="AB9" s="130" t="s">
        <v>418</v>
      </c>
      <c r="AC9" s="130" t="s">
        <v>418</v>
      </c>
      <c r="AD9" s="130" t="s">
        <v>297</v>
      </c>
      <c r="AE9" s="130" t="s">
        <v>297</v>
      </c>
      <c r="AH9" s="133"/>
      <c r="AI9" s="166"/>
    </row>
    <row r="10" spans="1:37">
      <c r="A10" s="130">
        <v>2</v>
      </c>
      <c r="B10" s="130">
        <v>1</v>
      </c>
      <c r="C10" s="130" t="s">
        <v>269</v>
      </c>
      <c r="D10" s="132">
        <v>45408</v>
      </c>
      <c r="E10" s="172">
        <v>2024042500277</v>
      </c>
      <c r="F10" s="173" t="s">
        <v>484</v>
      </c>
      <c r="G10" s="173" t="s">
        <v>486</v>
      </c>
      <c r="H10" s="166" t="s">
        <v>478</v>
      </c>
      <c r="I10" s="133"/>
      <c r="J10" s="166" t="s">
        <v>476</v>
      </c>
      <c r="K10" s="174">
        <v>35000000</v>
      </c>
      <c r="L10" s="166">
        <v>2.9</v>
      </c>
      <c r="M10" s="175">
        <v>45408</v>
      </c>
      <c r="N10" s="175">
        <v>46503</v>
      </c>
      <c r="O10" s="130" t="s">
        <v>203</v>
      </c>
      <c r="P10" s="130">
        <v>414.03</v>
      </c>
      <c r="Q10" s="130" t="s">
        <v>204</v>
      </c>
      <c r="R10" s="134">
        <v>850835</v>
      </c>
      <c r="S10" s="130" t="s">
        <v>416</v>
      </c>
      <c r="T10" s="130" t="s">
        <v>417</v>
      </c>
      <c r="W10" s="166">
        <v>0</v>
      </c>
      <c r="AA10" s="166">
        <v>105033</v>
      </c>
      <c r="AD10" s="130" t="s">
        <v>297</v>
      </c>
      <c r="AE10" s="130" t="s">
        <v>297</v>
      </c>
      <c r="AH10" s="133"/>
      <c r="AI10" s="166"/>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1</vt:i4>
      </vt:variant>
    </vt:vector>
  </HeadingPairs>
  <TitlesOfParts>
    <vt:vector size="5" baseType="lpstr">
      <vt:lpstr>한국은행보고서_Sample</vt:lpstr>
      <vt:lpstr>레이아웃 설명</vt:lpstr>
      <vt:lpstr>FX_DEAL All</vt:lpstr>
      <vt:lpstr>IRS_DEAL All</vt:lpstr>
      <vt:lpstr>'레이아웃 설명'!Print_Area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2024-04-05T02:15:22Z</dcterms:created>
  <dcterms:modified xsi:type="dcterms:W3CDTF">2026-02-25T00:18:20Z</dcterms:modified>
</cp:coreProperties>
</file>